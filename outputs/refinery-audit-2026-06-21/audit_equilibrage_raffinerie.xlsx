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822474b0a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b9d9c1403f484669"/>
    <x:sheet xmlns:r="http://schemas.openxmlformats.org/officeDocument/2006/relationships" name="Coûts par niveau" sheetId="2" r:id="R5048b5720e804c65"/>
    <x:sheet xmlns:r="http://schemas.openxmlformats.org/officeDocument/2006/relationships" name="Cumul niveau 20" sheetId="3" r:id="R786f551bbdf84f05"/>
    <x:sheet xmlns:r="http://schemas.openxmlformats.org/officeDocument/2006/relationships" name="Production niveaux" sheetId="4" r:id="R87b9494e956d4a9b"/>
    <x:sheet xmlns:r="http://schemas.openxmlformats.org/officeDocument/2006/relationships" name="Bilan niveau 20" sheetId="5" r:id="R5fa2175c64f5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4E63"/>
      <x:name val="Carlito"/>
    </x:font>
    <x:font>
      <x:b/>
      <x:sz val="11"/>
      <x:color rgb="FFDFF6FF"/>
      <x:name val="Carlito"/>
    </x:font>
    <x:font>
      <x:sz val="11"/>
      <x:color rgb="FF172033"/>
      <x:name val="Carlito"/>
    </x:font>
    <x:font>
      <x:sz val="11"/>
      <x:color rgb="FF713F12"/>
      <x:name val="Carlito"/>
    </x:font>
    <x:font>
      <x:b/>
      <x:sz val="11"/>
      <x:color rgb="FFEF444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827"/>
      </x:patternFill>
    </x:fill>
    <x:fill>
      <x:patternFill patternType="solid">
        <x:fgColor rgb="FFE6F6FC"/>
      </x:patternFill>
    </x:fill>
    <x:fill>
      <x:patternFill patternType="solid">
        <x:fgColor rgb="FF0B2438"/>
      </x:patternFill>
    </x:fill>
    <x:fill>
      <x:patternFill patternType="solid">
        <x:fgColor rgb="FFFFF8DB"/>
      </x:patternFill>
    </x:fill>
  </x:fills>
  <x:borders count="15">
    <x:border/>
    <x:border>
      <x:left style="thin">
        <x:color rgb="FF38BDF8"/>
      </x:left>
      <x:top style="thin">
        <x:color rgb="FF38BDF8"/>
      </x:top>
      <x:bottom style="thin">
        <x:color rgb="FF38BDF8"/>
      </x:bottom>
    </x:border>
    <x:border>
      <x:right style="thin">
        <x:color rgb="FF38BDF8"/>
      </x:right>
      <x:top style="thin">
        <x:color rgb="FF38BDF8"/>
      </x:top>
      <x:bottom style="thin">
        <x:color rgb="FF38BDF8"/>
      </x:bottom>
    </x:border>
    <x:border>
      <x:bottom style="thin">
        <x:color rgb="FFD8E3EA"/>
      </x:bottom>
    </x:border>
    <x:border>
      <x:top style="thin">
        <x:color rgb="FFD8E3EA"/>
      </x:top>
      <x:bottom style="thin">
        <x:color rgb="FFD8E3EA"/>
      </x:bottom>
    </x:border>
    <x:border>
      <x:top style="thin">
        <x:color rgb="FFD8E3EA"/>
      </x:top>
    </x:border>
    <x:border>
      <x:top style="thin">
        <x:color rgb="FF38BDF8"/>
      </x:top>
      <x:bottom style="thin">
        <x:color rgb="FF38BDF8"/>
      </x:bottom>
    </x:border>
    <x:border>
      <x:left style="thin">
        <x:color rgb="FFFACC15"/>
      </x:left>
      <x:top style="thin">
        <x:color rgb="FFFACC15"/>
      </x:top>
    </x:border>
    <x:border>
      <x:top style="thin">
        <x:color rgb="FFFACC15"/>
      </x:top>
    </x:border>
    <x:border>
      <x:right style="thin">
        <x:color rgb="FFFACC15"/>
      </x:right>
      <x:top style="thin">
        <x:color rgb="FFFACC15"/>
      </x:top>
    </x:border>
    <x:border>
      <x:left style="thin">
        <x:color rgb="FFFACC15"/>
      </x:left>
    </x:border>
    <x:border>
      <x:right style="thin">
        <x:color rgb="FFFACC15"/>
      </x:right>
    </x:border>
    <x:border>
      <x:left style="thin">
        <x:color rgb="FFFACC15"/>
      </x:left>
      <x:bottom style="thin">
        <x:color rgb="FFFACC15"/>
      </x:bottom>
    </x:border>
    <x:border>
      <x:bottom style="thin">
        <x:color rgb="FFFACC15"/>
      </x:bottom>
    </x:border>
    <x:border>
      <x:right style="thin">
        <x:color rgb="FFFACC15"/>
      </x:right>
      <x:bottom style="thin">
        <x:color rgb="FFFACC15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ecd99864e460e" /><Relationship Type="http://schemas.openxmlformats.org/officeDocument/2006/relationships/theme" Target="/xl/theme/theme1.xml" Id="R2c367faf8f954751" /><Relationship Type="http://schemas.openxmlformats.org/officeDocument/2006/relationships/sharedStrings" Target="/xl/sharedStrings.xml" Id="Re863a5d166bf43b3" /><Relationship Type="http://schemas.openxmlformats.org/officeDocument/2006/relationships/worksheet" Target="/xl/worksheets/sheet1.xml" Id="Rb9d9c1403f484669" /><Relationship Type="http://schemas.openxmlformats.org/officeDocument/2006/relationships/worksheet" Target="/xl/worksheets/sheet2.xml" Id="R5048b5720e804c65" /><Relationship Type="http://schemas.openxmlformats.org/officeDocument/2006/relationships/worksheet" Target="/xl/worksheets/sheet3.xml" Id="R786f551bbdf84f05" /><Relationship Type="http://schemas.openxmlformats.org/officeDocument/2006/relationships/worksheet" Target="/xl/worksheets/sheet4.xml" Id="R87b9494e956d4a9b" /><Relationship Type="http://schemas.openxmlformats.org/officeDocument/2006/relationships/worksheet" Target="/xl/worksheets/sheet5.xml" Id="R5fa2175c64f542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</x:cols>
  <x:sheetData>
    <x:row r="1">
      <x:c r="A1" s="3" t="str">
        <x:v>Audit d'équilibrage — Raffinerie VoidSector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6" t="str">
        <x:v>État actuel extrait directement des règles client/serveur du projet — 21 juin 2026</x:v>
      </x:c>
      <x:c r="B3" s="6"/>
      <x:c r="C3" s="6"/>
      <x:c r="D3" s="6"/>
      <x:c r="E3" s="6"/>
      <x:c r="F3" s="6"/>
      <x:c r="G3" s="6"/>
      <x:c r="H3" s="6"/>
    </x:row>
    <x:row r="5">
      <x:c r="A5" s="15" t="str">
        <x:v>Indicateur</x:v>
      </x:c>
      <x:c r="B5" s="16" t="str">
        <x:v>Valeur</x:v>
      </x:c>
      <x:c r="D5" s="15" t="str">
        <x:v>Constats importants</x:v>
      </x:c>
      <x:c r="E5" s="30"/>
      <x:c r="F5" s="30"/>
      <x:c r="G5" s="30"/>
      <x:c r="H5" s="16"/>
    </x:row>
    <x:row r="6" ht="34" customHeight="1">
      <x:c r="A6" s="21" t="str">
        <x:v>Matériaux suivis</x:v>
      </x:c>
      <x:c r="B6" s="24" t="n">
        <x:v>11</x:v>
      </x:c>
      <x:c r="D6" s="50" t="str">
        <x:v>Le bilan actuel est réellement négatif au niveau 20 pour le Zinc, le Titane et le Catalyseur.</x:v>
      </x:c>
      <x:c r="E6" s="51"/>
      <x:c r="F6" s="51"/>
      <x:c r="G6" s="51"/>
      <x:c r="H6" s="52"/>
    </x:row>
    <x:row r="7" ht="34" customHeight="1">
      <x:c r="A7" s="22" t="str">
        <x:v>Déficits au niveau 20</x:v>
      </x:c>
      <x:c r="B7" s="25" t="n">
        <x:f>COUNTIF('Bilan niveau 20'!F5:F15,"DÉFICIT")</x:f>
        <x:v>3</x:v>
      </x:c>
      <x:c r="D7" s="53" t="str">
        <x:v>Le panneau Stats calcule une chaîne de production qui consomme les recettes de raffinage.</x:v>
      </x:c>
      <x:c r="E7" s="54"/>
      <x:c r="F7" s="54"/>
      <x:c r="G7" s="54"/>
      <x:c r="H7" s="55"/>
    </x:row>
    <x:row r="8" ht="34" customHeight="1">
      <x:c r="A8" s="23" t="str">
        <x:v>Plus gros déficit</x:v>
      </x:c>
      <x:c r="B8" s="26" t="n">
        <x:f>MIN('Bilan niveau 20'!E5:E15)</x:f>
        <x:v>-140000</x:v>
      </x:c>
      <x:c r="D8" s="53" t="str">
        <x:v>Le serveur autoritaire produit actuellement les matériaux raffinés sans consommer leurs ingrédients.</x:v>
      </x:c>
      <x:c r="E8" s="54"/>
      <x:c r="F8" s="54"/>
      <x:c r="G8" s="54"/>
      <x:c r="H8" s="55"/>
    </x:row>
    <x:row r="9" ht="34" customHeight="1">
      <x:c r="D9" s="53" t="str">
        <x:v>Le client local historique, lui, consomme les ingrédients : les deux modes n'ont donc pas le même fonctionnement.</x:v>
      </x:c>
      <x:c r="E9" s="54"/>
      <x:c r="F9" s="54"/>
      <x:c r="G9" s="54"/>
      <x:c r="H9" s="55"/>
    </x:row>
    <x:row r="10" ht="34" customHeight="1">
      <x:c r="D10" s="56" t="str">
        <x:v>Aucun nouvel équilibrage n'est appliqué dans le code par ce rapport ; le scénario proposé sert uniquement de base de discussion.</x:v>
      </x:c>
      <x:c r="E10" s="57"/>
      <x:c r="F10" s="57"/>
      <x:c r="G10" s="57"/>
      <x:c r="H10" s="58"/>
    </x:row>
    <x:row r="12">
      <x:c r="A12" s="15" t="str">
        <x:v>Déficits actuels au niveau 20</x:v>
      </x:c>
      <x:c r="B12" s="30"/>
      <x:c r="C12" s="30"/>
      <x:c r="D12" s="30"/>
      <x:c r="E12" s="30"/>
      <x:c r="F12" s="30"/>
      <x:c r="G12" s="30"/>
      <x:c r="H12" s="16"/>
    </x:row>
    <x:row r="13">
      <x:c r="A13" s="15" t="str">
        <x:v>Matériau</x:v>
      </x:c>
      <x:c r="B13" s="30" t="str">
        <x:v>Produit / h</x:v>
      </x:c>
      <x:c r="C13" s="30" t="str">
        <x:v>Consommé / h</x:v>
      </x:c>
      <x:c r="D13" s="16" t="str">
        <x:v>Net / h</x:v>
      </x:c>
    </x:row>
    <x:row r="14">
      <x:c r="A14" s="21" t="str">
        <x:v>Zinc</x:v>
      </x:c>
      <x:c r="B14" s="24" t="n">
        <x:v>140000</x:v>
      </x:c>
      <x:c r="C14" s="24" t="n">
        <x:v>280000</x:v>
      </x:c>
      <x:c r="D14" s="59" t="n">
        <x:v>-140000</x:v>
      </x:c>
    </x:row>
    <x:row r="15">
      <x:c r="A15" s="22" t="str">
        <x:v>Titane</x:v>
      </x:c>
      <x:c r="B15" s="25" t="n">
        <x:v>140000</x:v>
      </x:c>
      <x:c r="C15" s="25" t="n">
        <x:v>280000</x:v>
      </x:c>
      <x:c r="D15" s="60" t="n">
        <x:v>-140000</x:v>
      </x:c>
    </x:row>
    <x:row r="16">
      <x:c r="A16" s="23" t="str">
        <x:v>Catalyseur</x:v>
      </x:c>
      <x:c r="B16" s="26" t="n">
        <x:v>14000</x:v>
      </x:c>
      <x:c r="C16" s="26" t="n">
        <x:v>15400</x:v>
      </x:c>
      <x:c r="D16" s="61" t="n">
        <x:v>-1400</x:v>
      </x:c>
    </x:row>
    <x:row r="18">
      <x:c r="A18" s="15" t="str">
        <x:v>Scénario équilibré d'exemple — non appliqué</x:v>
      </x:c>
      <x:c r="B18" s="30"/>
      <x:c r="C18" s="30"/>
      <x:c r="D18" s="30"/>
      <x:c r="E18" s="30"/>
      <x:c r="F18" s="30"/>
      <x:c r="G18" s="30"/>
      <x:c r="H18" s="16"/>
    </x:row>
    <x:row r="19">
      <x:c r="A19" s="15" t="str">
        <x:v>Matériau</x:v>
      </x:c>
      <x:c r="B19" s="30" t="str">
        <x:v>Production actuelle</x:v>
      </x:c>
      <x:c r="C19" s="30" t="str">
        <x:v>Consommation actuelle</x:v>
      </x:c>
      <x:c r="D19" s="30" t="str">
        <x:v>Net actuel</x:v>
      </x:c>
      <x:c r="E19" s="30" t="str">
        <x:v>Production proposée</x:v>
      </x:c>
      <x:c r="F19" s="30" t="str">
        <x:v>Consommation proposée</x:v>
      </x:c>
      <x:c r="G19" s="30" t="str">
        <x:v>Net proposé</x:v>
      </x:c>
      <x:c r="H19" s="16" t="str">
        <x:v>Commentaire</x:v>
      </x:c>
    </x:row>
    <x:row r="20">
      <x:c r="A20" s="21" t="str">
        <x:v>Cuivre</x:v>
      </x:c>
      <x:c r="B20" s="24" t="n">
        <x:v>140000</x:v>
      </x:c>
      <x:c r="C20" s="24" t="n">
        <x:v>140000</x:v>
      </x:c>
      <x:c r="D20" s="24" t="n">
        <x:v>0</x:v>
      </x:c>
      <x:c r="E20" s="24" t="n">
        <x:v>140000</x:v>
      </x:c>
      <x:c r="F20" s="24" t="n">
        <x:v>70000</x:v>
      </x:c>
      <x:c r="G20" s="24" t="n">
        <x:v>70000</x:v>
      </x:c>
      <x:c r="H20" s="21" t="str">
        <x:v>Conserve les minerais bruts à 140 000/h</x:v>
      </x:c>
    </x:row>
    <x:row r="21">
      <x:c r="A21" s="22" t="str">
        <x:v>Zinc</x:v>
      </x:c>
      <x:c r="B21" s="25" t="n">
        <x:v>140000</x:v>
      </x:c>
      <x:c r="C21" s="25" t="n">
        <x:v>280000</x:v>
      </x:c>
      <x:c r="D21" s="25" t="n">
        <x:v>-140000</x:v>
      </x:c>
      <x:c r="E21" s="25" t="n">
        <x:v>140000</x:v>
      </x:c>
      <x:c r="F21" s="25" t="n">
        <x:v>140000</x:v>
      </x:c>
      <x:c r="G21" s="25" t="n">
        <x:v>0</x:v>
      </x:c>
      <x:c r="H21" s="22" t="str">
        <x:v>Conserve les minerais bruts à 140 000/h</x:v>
      </x:c>
    </x:row>
    <x:row r="22">
      <x:c r="A22" s="22" t="str">
        <x:v>Nickel</x:v>
      </x:c>
      <x:c r="B22" s="25" t="n">
        <x:v>140000</x:v>
      </x:c>
      <x:c r="C22" s="25" t="n">
        <x:v>140000</x:v>
      </x:c>
      <x:c r="D22" s="25" t="n">
        <x:v>0</x:v>
      </x:c>
      <x:c r="E22" s="25" t="n">
        <x:v>140000</x:v>
      </x:c>
      <x:c r="F22" s="25" t="n">
        <x:v>70000</x:v>
      </x:c>
      <x:c r="G22" s="25" t="n">
        <x:v>70000</x:v>
      </x:c>
      <x:c r="H22" s="22" t="str">
        <x:v>Conserve les minerais bruts à 140 000/h</x:v>
      </x:c>
    </x:row>
    <x:row r="23">
      <x:c r="A23" s="22" t="str">
        <x:v>Titane</x:v>
      </x:c>
      <x:c r="B23" s="25" t="n">
        <x:v>140000</x:v>
      </x:c>
      <x:c r="C23" s="25" t="n">
        <x:v>280000</x:v>
      </x:c>
      <x:c r="D23" s="25" t="n">
        <x:v>-140000</x:v>
      </x:c>
      <x:c r="E23" s="25" t="n">
        <x:v>140000</x:v>
      </x:c>
      <x:c r="F23" s="25" t="n">
        <x:v>140000</x:v>
      </x:c>
      <x:c r="G23" s="25" t="n">
        <x:v>0</x:v>
      </x:c>
      <x:c r="H23" s="22" t="str">
        <x:v>Conserve les minerais bruts à 140 000/h</x:v>
      </x:c>
    </x:row>
    <x:row r="24">
      <x:c r="A24" s="22" t="str">
        <x:v>Silice</x:v>
      </x:c>
      <x:c r="B24" s="25" t="n">
        <x:v>140000</x:v>
      </x:c>
      <x:c r="C24" s="25" t="n">
        <x:v>140000</x:v>
      </x:c>
      <x:c r="D24" s="25" t="n">
        <x:v>0</x:v>
      </x:c>
      <x:c r="E24" s="25" t="n">
        <x:v>140000</x:v>
      </x:c>
      <x:c r="F24" s="25" t="n">
        <x:v>70000</x:v>
      </x:c>
      <x:c r="G24" s="25" t="n">
        <x:v>70000</x:v>
      </x:c>
      <x:c r="H24" s="22" t="str">
        <x:v>Conserve les minerais bruts à 140 000/h</x:v>
      </x:c>
    </x:row>
    <x:row r="25">
      <x:c r="A25" s="22" t="str">
        <x:v>Alliage</x:v>
      </x:c>
      <x:c r="B25" s="25" t="n">
        <x:v>14000</x:v>
      </x:c>
      <x:c r="C25" s="25" t="n">
        <x:v>14000</x:v>
      </x:c>
      <x:c r="D25" s="25" t="n">
        <x:v>0</x:v>
      </x:c>
      <x:c r="E25" s="25" t="n">
        <x:v>7000</x:v>
      </x:c>
      <x:c r="F25" s="25" t="n">
        <x:v>6500</x:v>
      </x:c>
      <x:c r="G25" s="25" t="n">
        <x:v>500</x:v>
      </x:c>
      <x:c r="H25" s="22" t="str">
        <x:v>Réduit la cascade pour garder une marge positive</x:v>
      </x:c>
    </x:row>
    <x:row r="26">
      <x:c r="A26" s="22" t="str">
        <x:v>Plaque</x:v>
      </x:c>
      <x:c r="B26" s="25" t="n">
        <x:v>14000</x:v>
      </x:c>
      <x:c r="C26" s="25" t="n">
        <x:v>14000</x:v>
      </x:c>
      <x:c r="D26" s="25" t="n">
        <x:v>0</x:v>
      </x:c>
      <x:c r="E26" s="25" t="n">
        <x:v>7000</x:v>
      </x:c>
      <x:c r="F26" s="25" t="n">
        <x:v>6500</x:v>
      </x:c>
      <x:c r="G26" s="25" t="n">
        <x:v>500</x:v>
      </x:c>
      <x:c r="H26" s="22" t="str">
        <x:v>Réduit la cascade pour garder une marge positive</x:v>
      </x:c>
    </x:row>
    <x:row r="27">
      <x:c r="A27" s="22" t="str">
        <x:v>Conducteur</x:v>
      </x:c>
      <x:c r="B27" s="25" t="n">
        <x:v>1400</x:v>
      </x:c>
      <x:c r="C27" s="25" t="n">
        <x:v>1400</x:v>
      </x:c>
      <x:c r="D27" s="25" t="n">
        <x:v>0</x:v>
      </x:c>
      <x:c r="E27" s="25" t="n">
        <x:v>650</x:v>
      </x:c>
      <x:c r="F27" s="25" t="n">
        <x:v>500</x:v>
      </x:c>
      <x:c r="G27" s="25" t="n">
        <x:v>150</x:v>
      </x:c>
      <x:c r="H27" s="22" t="str">
        <x:v>Réduit la cascade pour garder une marge positive</x:v>
      </x:c>
    </x:row>
    <x:row r="28">
      <x:c r="A28" s="22" t="str">
        <x:v>Blindage</x:v>
      </x:c>
      <x:c r="B28" s="25" t="n">
        <x:v>1400</x:v>
      </x:c>
      <x:c r="C28" s="25" t="n">
        <x:v>1400</x:v>
      </x:c>
      <x:c r="D28" s="25" t="n">
        <x:v>0</x:v>
      </x:c>
      <x:c r="E28" s="25" t="n">
        <x:v>650</x:v>
      </x:c>
      <x:c r="F28" s="25" t="n">
        <x:v>500</x:v>
      </x:c>
      <x:c r="G28" s="25" t="n">
        <x:v>150</x:v>
      </x:c>
      <x:c r="H28" s="22" t="str">
        <x:v>Réduit la cascade pour garder une marge positive</x:v>
      </x:c>
    </x:row>
    <x:row r="29">
      <x:c r="A29" s="22" t="str">
        <x:v>Catalyseur</x:v>
      </x:c>
      <x:c r="B29" s="25" t="n">
        <x:v>14000</x:v>
      </x:c>
      <x:c r="C29" s="25" t="n">
        <x:v>15400</x:v>
      </x:c>
      <x:c r="D29" s="25" t="n">
        <x:v>-1400</x:v>
      </x:c>
      <x:c r="E29" s="25" t="n">
        <x:v>7000</x:v>
      </x:c>
      <x:c r="F29" s="25" t="n">
        <x:v>7000</x:v>
      </x:c>
      <x:c r="G29" s="25" t="n">
        <x:v>0</x:v>
      </x:c>
      <x:c r="H29" s="22" t="str">
        <x:v>Réduit la cascade pour garder une marge positive</x:v>
      </x:c>
    </x:row>
    <x:row r="30">
      <x:c r="A30" s="23" t="str">
        <x:v>Noyau</x:v>
      </x:c>
      <x:c r="B30" s="26" t="n">
        <x:v>140</x:v>
      </x:c>
      <x:c r="C30" s="26" t="n">
        <x:v>0</x:v>
      </x:c>
      <x:c r="D30" s="26" t="n">
        <x:v>140</x:v>
      </x:c>
      <x:c r="E30" s="26" t="n">
        <x:v>50</x:v>
      </x:c>
      <x:c r="F30" s="26" t="n">
        <x:v>0</x:v>
      </x:c>
      <x:c r="G30" s="26" t="n">
        <x:v>50</x:v>
      </x:c>
      <x:c r="H30" s="23" t="str">
        <x:v>Réduit la cascade pour garder une marge positive</x:v>
      </x:c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A12:H12"/>
    <x:mergeCell ref="A18:H18"/>
  </x:mergeCells>
  <x:conditionalFormatting sqref="D20:D30">
    <x:cfRule type="cellIs" dxfId="0" priority="1" operator="lessThan">
      <x:formula>0</x:formula>
    </x:cfRule>
  </x:conditionalFormatting>
  <x:conditionalFormatting sqref="G20:G30">
    <x:cfRule type="cellIs" dxfId="1" priority="2" operator="greaterThanOr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>
      <x:c r="A1" s="3" t="str">
        <x:v>Coûts exacts de chaque passage de niveau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4">
      <x:c r="A4" s="15" t="str">
        <x:v>Matériau</x:v>
      </x:c>
      <x:c r="B4" s="30" t="str">
        <x:v>ID</x:v>
      </x:c>
      <x:c r="C4" s="30" t="str">
        <x:v>Type</x:v>
      </x:c>
      <x:c r="D4" s="30" t="str">
        <x:v>Niveau départ</x:v>
      </x:c>
      <x:c r="E4" s="30" t="str">
        <x:v>Niveau cible</x:v>
      </x:c>
      <x:c r="F4" s="30" t="str">
        <x:v>Crédits</x:v>
      </x:c>
      <x:c r="G4" s="30" t="str">
        <x:v>Durée (h)</x:v>
      </x:c>
      <x:c r="H4" s="30" t="str">
        <x:v>Cuivre</x:v>
      </x:c>
      <x:c r="I4" s="30" t="str">
        <x:v>Zinc</x:v>
      </x:c>
      <x:c r="J4" s="30" t="str">
        <x:v>Nickel</x:v>
      </x:c>
      <x:c r="K4" s="30" t="str">
        <x:v>Titane</x:v>
      </x:c>
      <x:c r="L4" s="30" t="str">
        <x:v>Silice</x:v>
      </x:c>
      <x:c r="M4" s="30" t="str">
        <x:v>Alliage</x:v>
      </x:c>
      <x:c r="N4" s="30" t="str">
        <x:v>Plaque</x:v>
      </x:c>
      <x:c r="O4" s="30" t="str">
        <x:v>Conducteur</x:v>
      </x:c>
      <x:c r="P4" s="30" t="str">
        <x:v>Blindage</x:v>
      </x:c>
      <x:c r="Q4" s="30" t="str">
        <x:v>Catalyseur</x:v>
      </x:c>
      <x:c r="R4" s="30" t="str">
        <x:v>Noyau</x:v>
      </x:c>
      <x:c r="S4" s="16" t="str">
        <x:v>Total ressources</x:v>
      </x:c>
    </x:row>
    <x:row r="5">
      <x:c r="A5" s="21" t="str">
        <x:v>Cuivre</x:v>
      </x:c>
      <x:c r="B5" s="21" t="str">
        <x:v>cuivre_orbital</x:v>
      </x:c>
      <x:c r="C5" s="21" t="str">
        <x:v>raw</x:v>
      </x:c>
      <x:c r="D5" s="24" t="n">
        <x:v>1</x:v>
      </x:c>
      <x:c r="E5" s="24" t="n">
        <x:v>2</x:v>
      </x:c>
      <x:c r="F5" s="24" t="n">
        <x:v>8000</x:v>
      </x:c>
      <x:c r="G5" s="62" t="n">
        <x:v>1</x:v>
      </x:c>
      <x:c r="H5" s="24" t="n">
        <x:v>1000</x:v>
      </x:c>
      <x:c r="I5" s="24" t="n">
        <x:v>1000</x:v>
      </x:c>
      <x:c r="J5" s="24" t="n">
        <x:v>0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0</x:v>
      </x:c>
      <x:c r="Q5" s="24" t="n">
        <x:v>0</x:v>
      </x:c>
      <x:c r="R5" s="24" t="n">
        <x:v>0</x:v>
      </x:c>
      <x:c r="S5" s="24" t="n">
        <x:f>SUM(H5:R5)</x:f>
        <x:v>2000</x:v>
      </x:c>
    </x:row>
    <x:row r="6">
      <x:c r="A6" s="22" t="str">
        <x:v>Cuivre</x:v>
      </x:c>
      <x:c r="B6" s="22" t="str">
        <x:v>cuivre_orbital</x:v>
      </x:c>
      <x:c r="C6" s="22" t="str">
        <x:v>raw</x:v>
      </x:c>
      <x:c r="D6" s="25" t="n">
        <x:v>2</x:v>
      </x:c>
      <x:c r="E6" s="25" t="n">
        <x:v>3</x:v>
      </x:c>
      <x:c r="F6" s="25" t="n">
        <x:v>24005</x:v>
      </x:c>
      <x:c r="G6" s="63" t="n">
        <x:v>1.4912311111111112</x:v>
      </x:c>
      <x:c r="H6" s="25" t="n">
        <x:v>4203</x:v>
      </x:c>
      <x:c r="I6" s="25" t="n">
        <x:v>4203</x:v>
      </x:c>
      <x:c r="J6" s="25" t="n">
        <x:v>0</x:v>
      </x:c>
      <x:c r="K6" s="25" t="n">
        <x:v>0</x:v>
      </x:c>
      <x:c r="L6" s="25" t="n">
        <x:v>0</x:v>
      </x:c>
      <x:c r="M6" s="25" t="n">
        <x:v>0</x:v>
      </x:c>
      <x:c r="N6" s="25" t="n">
        <x:v>0</x:v>
      </x:c>
      <x:c r="O6" s="25" t="n">
        <x:v>0</x:v>
      </x:c>
      <x:c r="P6" s="25" t="n">
        <x:v>0</x:v>
      </x:c>
      <x:c r="Q6" s="25" t="n">
        <x:v>0</x:v>
      </x:c>
      <x:c r="R6" s="25" t="n">
        <x:v>0</x:v>
      </x:c>
      <x:c r="S6" s="25" t="n">
        <x:f>SUM(H6:R6)</x:f>
        <x:v>8406</x:v>
      </x:c>
    </x:row>
    <x:row r="7">
      <x:c r="A7" s="22" t="str">
        <x:v>Cuivre</x:v>
      </x:c>
      <x:c r="B7" s="22" t="str">
        <x:v>cuivre_orbital</x:v>
      </x:c>
      <x:c r="C7" s="22" t="str">
        <x:v>raw</x:v>
      </x:c>
      <x:c r="D7" s="25" t="n">
        <x:v>3</x:v>
      </x:c>
      <x:c r="E7" s="25" t="n">
        <x:v>4</x:v>
      </x:c>
      <x:c r="F7" s="25" t="n">
        <x:v>74279</x:v>
      </x:c>
      <x:c r="G7" s="63" t="n">
        <x:v>2.366488888888889</x:v>
      </x:c>
      <x:c r="H7" s="25" t="n">
        <x:v>14262</x:v>
      </x:c>
      <x:c r="I7" s="25" t="n">
        <x:v>14262</x:v>
      </x:c>
      <x:c r="J7" s="25" t="n">
        <x:v>0</x:v>
      </x:c>
      <x:c r="K7" s="25" t="n">
        <x:v>0</x:v>
      </x:c>
      <x:c r="L7" s="25" t="n">
        <x:v>0</x:v>
      </x:c>
      <x:c r="M7" s="25" t="n">
        <x:v>0</x:v>
      </x:c>
      <x:c r="N7" s="25" t="n">
        <x:v>0</x:v>
      </x:c>
      <x:c r="O7" s="25" t="n">
        <x:v>0</x:v>
      </x:c>
      <x:c r="P7" s="25" t="n">
        <x:v>0</x:v>
      </x:c>
      <x:c r="Q7" s="25" t="n">
        <x:v>0</x:v>
      </x:c>
      <x:c r="R7" s="25" t="n">
        <x:v>0</x:v>
      </x:c>
      <x:c r="S7" s="25" t="n">
        <x:f>SUM(H7:R7)</x:f>
        <x:v>28524</x:v>
      </x:c>
    </x:row>
    <x:row r="8">
      <x:c r="A8" s="22" t="str">
        <x:v>Cuivre</x:v>
      </x:c>
      <x:c r="B8" s="22" t="str">
        <x:v>cuivre_orbital</x:v>
      </x:c>
      <x:c r="C8" s="22" t="str">
        <x:v>raw</x:v>
      </x:c>
      <x:c r="D8" s="25" t="n">
        <x:v>4</x:v>
      </x:c>
      <x:c r="E8" s="25" t="n">
        <x:v>5</x:v>
      </x:c>
      <x:c r="F8" s="25" t="n">
        <x:v>160181</x:v>
      </x:c>
      <x:c r="G8" s="63" t="n">
        <x:v>3.4860897222222222</x:v>
      </x:c>
      <x:c r="H8" s="25" t="n">
        <x:v>31452</x:v>
      </x:c>
      <x:c r="I8" s="25" t="n">
        <x:v>31452</x:v>
      </x:c>
      <x:c r="J8" s="25" t="n">
        <x:v>0</x:v>
      </x:c>
      <x:c r="K8" s="25" t="n">
        <x:v>0</x:v>
      </x:c>
      <x:c r="L8" s="25" t="n">
        <x:v>0</x:v>
      </x:c>
      <x:c r="M8" s="25" t="n">
        <x:v>0</x:v>
      </x:c>
      <x:c r="N8" s="25" t="n">
        <x:v>0</x:v>
      </x:c>
      <x:c r="O8" s="25" t="n">
        <x:v>0</x:v>
      </x:c>
      <x:c r="P8" s="25" t="n">
        <x:v>0</x:v>
      </x:c>
      <x:c r="Q8" s="25" t="n">
        <x:v>0</x:v>
      </x:c>
      <x:c r="R8" s="25" t="n">
        <x:v>0</x:v>
      </x:c>
      <x:c r="S8" s="25" t="n">
        <x:f>SUM(H8:R8)</x:f>
        <x:v>62904</x:v>
      </x:c>
    </x:row>
    <x:row r="9">
      <x:c r="A9" s="22" t="str">
        <x:v>Cuivre</x:v>
      </x:c>
      <x:c r="B9" s="22" t="str">
        <x:v>cuivre_orbital</x:v>
      </x:c>
      <x:c r="C9" s="22" t="str">
        <x:v>raw</x:v>
      </x:c>
      <x:c r="D9" s="25" t="n">
        <x:v>5</x:v>
      </x:c>
      <x:c r="E9" s="25" t="n">
        <x:v>6</x:v>
      </x:c>
      <x:c r="F9" s="25" t="n">
        <x:v>282464</x:v>
      </x:c>
      <x:c r="G9" s="63" t="n">
        <x:v>4.801249444444444</x:v>
      </x:c>
      <x:c r="H9" s="25" t="n">
        <x:v>55920</x:v>
      </x:c>
      <x:c r="I9" s="25" t="n">
        <x:v>55920</x:v>
      </x:c>
      <x:c r="J9" s="25" t="n">
        <x:v>0</x:v>
      </x:c>
      <x:c r="K9" s="25" t="n">
        <x:v>0</x:v>
      </x:c>
      <x:c r="L9" s="25" t="n">
        <x:v>0</x:v>
      </x:c>
      <x:c r="M9" s="25" t="n">
        <x:v>0</x:v>
      </x:c>
      <x:c r="N9" s="25" t="n">
        <x:v>0</x:v>
      </x:c>
      <x:c r="O9" s="25" t="n">
        <x:v>0</x:v>
      </x:c>
      <x:c r="P9" s="25" t="n">
        <x:v>0</x:v>
      </x:c>
      <x:c r="Q9" s="25" t="n">
        <x:v>0</x:v>
      </x:c>
      <x:c r="R9" s="25" t="n">
        <x:v>0</x:v>
      </x:c>
      <x:c r="S9" s="25" t="n">
        <x:f>SUM(H9:R9)</x:f>
        <x:v>111840</x:v>
      </x:c>
    </x:row>
    <x:row r="10">
      <x:c r="A10" s="22" t="str">
        <x:v>Cuivre</x:v>
      </x:c>
      <x:c r="B10" s="22" t="str">
        <x:v>cuivre_orbital</x:v>
      </x:c>
      <x:c r="C10" s="22" t="str">
        <x:v>raw</x:v>
      </x:c>
      <x:c r="D10" s="25" t="n">
        <x:v>6</x:v>
      </x:c>
      <x:c r="E10" s="25" t="n">
        <x:v>7</x:v>
      </x:c>
      <x:c r="F10" s="25" t="n">
        <x:v>441662</x:v>
      </x:c>
      <x:c r="G10" s="63" t="n">
        <x:v>6.284033333333333</x:v>
      </x:c>
      <x:c r="H10" s="25" t="n">
        <x:v>87776</x:v>
      </x:c>
      <x:c r="I10" s="25" t="n">
        <x:v>87776</x:v>
      </x:c>
      <x:c r="J10" s="25" t="n">
        <x:v>0</x:v>
      </x:c>
      <x:c r="K10" s="25" t="n">
        <x:v>0</x:v>
      </x:c>
      <x:c r="L10" s="25" t="n">
        <x:v>0</x:v>
      </x:c>
      <x:c r="M10" s="25" t="n">
        <x:v>0</x:v>
      </x:c>
      <x:c r="N10" s="25" t="n">
        <x:v>0</x:v>
      </x:c>
      <x:c r="O10" s="25" t="n">
        <x:v>0</x:v>
      </x:c>
      <x:c r="P10" s="25" t="n">
        <x:v>0</x:v>
      </x:c>
      <x:c r="Q10" s="25" t="n">
        <x:v>0</x:v>
      </x:c>
      <x:c r="R10" s="25" t="n">
        <x:v>0</x:v>
      </x:c>
      <x:c r="S10" s="25" t="n">
        <x:f>SUM(H10:R10)</x:f>
        <x:v>175552</x:v>
      </x:c>
    </x:row>
    <x:row r="11">
      <x:c r="A11" s="22" t="str">
        <x:v>Cuivre</x:v>
      </x:c>
      <x:c r="B11" s="22" t="str">
        <x:v>cuivre_orbital</x:v>
      </x:c>
      <x:c r="C11" s="22" t="str">
        <x:v>raw</x:v>
      </x:c>
      <x:c r="D11" s="25" t="n">
        <x:v>7</x:v>
      </x:c>
      <x:c r="E11" s="25" t="n">
        <x:v>8</x:v>
      </x:c>
      <x:c r="F11" s="25" t="n">
        <x:v>638193</x:v>
      </x:c>
      <x:c r="G11" s="63" t="n">
        <x:v>7.915714722222222</x:v>
      </x:c>
      <x:c r="H11" s="25" t="n">
        <x:v>127102</x:v>
      </x:c>
      <x:c r="I11" s="25" t="n">
        <x:v>127102</x:v>
      </x:c>
      <x:c r="J11" s="25" t="n">
        <x:v>0</x:v>
      </x:c>
      <x:c r="K11" s="25" t="n">
        <x:v>0</x:v>
      </x:c>
      <x:c r="L11" s="25" t="n">
        <x:v>0</x:v>
      </x:c>
      <x:c r="M11" s="25" t="n">
        <x:v>0</x:v>
      </x:c>
      <x:c r="N11" s="25" t="n">
        <x:v>0</x:v>
      </x:c>
      <x:c r="O11" s="25" t="n">
        <x:v>0</x:v>
      </x:c>
      <x:c r="P11" s="25" t="n">
        <x:v>0</x:v>
      </x:c>
      <x:c r="Q11" s="25" t="n">
        <x:v>0</x:v>
      </x:c>
      <x:c r="R11" s="25" t="n">
        <x:v>0</x:v>
      </x:c>
      <x:c r="S11" s="25" t="n">
        <x:f>SUM(H11:R11)</x:f>
        <x:v>254204</x:v>
      </x:c>
    </x:row>
    <x:row r="12">
      <x:c r="A12" s="22" t="str">
        <x:v>Cuivre</x:v>
      </x:c>
      <x:c r="B12" s="22" t="str">
        <x:v>cuivre_orbital</x:v>
      </x:c>
      <x:c r="C12" s="22" t="str">
        <x:v>raw</x:v>
      </x:c>
      <x:c r="D12" s="25" t="n">
        <x:v>8</x:v>
      </x:c>
      <x:c r="E12" s="25" t="n">
        <x:v>9</x:v>
      </x:c>
      <x:c r="F12" s="25" t="n">
        <x:v>872399</x:v>
      </x:c>
      <x:c r="G12" s="63" t="n">
        <x:v>9.682614722222223</x:v>
      </x:c>
      <x:c r="H12" s="25" t="n">
        <x:v>173966</x:v>
      </x:c>
      <x:c r="I12" s="25" t="n">
        <x:v>173966</x:v>
      </x:c>
      <x:c r="J12" s="25" t="n">
        <x:v>0</x:v>
      </x:c>
      <x:c r="K12" s="25" t="n">
        <x:v>0</x:v>
      </x:c>
      <x:c r="L12" s="25" t="n">
        <x:v>0</x:v>
      </x:c>
      <x:c r="M12" s="25" t="n">
        <x:v>0</x:v>
      </x:c>
      <x:c r="N12" s="25" t="n">
        <x:v>0</x:v>
      </x:c>
      <x:c r="O12" s="25" t="n">
        <x:v>0</x:v>
      </x:c>
      <x:c r="P12" s="25" t="n">
        <x:v>0</x:v>
      </x:c>
      <x:c r="Q12" s="25" t="n">
        <x:v>0</x:v>
      </x:c>
      <x:c r="R12" s="25" t="n">
        <x:v>0</x:v>
      </x:c>
      <x:c r="S12" s="25" t="n">
        <x:f>SUM(H12:R12)</x:f>
        <x:v>347932</x:v>
      </x:c>
    </x:row>
    <x:row r="13">
      <x:c r="A13" s="22" t="str">
        <x:v>Cuivre</x:v>
      </x:c>
      <x:c r="B13" s="22" t="str">
        <x:v>cuivre_orbital</x:v>
      </x:c>
      <x:c r="C13" s="22" t="str">
        <x:v>raw</x:v>
      </x:c>
      <x:c r="D13" s="25" t="n">
        <x:v>9</x:v>
      </x:c>
      <x:c r="E13" s="25" t="n">
        <x:v>10</x:v>
      </x:c>
      <x:c r="F13" s="25" t="n">
        <x:v>1144574</x:v>
      </x:c>
      <x:c r="G13" s="63" t="n">
        <x:v>11.57417888888889</x:v>
      </x:c>
      <x:c r="H13" s="25" t="n">
        <x:v>228429</x:v>
      </x:c>
      <x:c r="I13" s="25" t="n">
        <x:v>228429</x:v>
      </x:c>
      <x:c r="J13" s="25" t="n">
        <x:v>0</x:v>
      </x:c>
      <x:c r="K13" s="25" t="n">
        <x:v>0</x:v>
      </x:c>
      <x:c r="L13" s="25" t="n">
        <x:v>0</x:v>
      </x:c>
      <x:c r="M13" s="25" t="n">
        <x:v>0</x:v>
      </x:c>
      <x:c r="N13" s="25" t="n">
        <x:v>0</x:v>
      </x:c>
      <x:c r="O13" s="25" t="n">
        <x:v>0</x:v>
      </x:c>
      <x:c r="P13" s="25" t="n">
        <x:v>0</x:v>
      </x:c>
      <x:c r="Q13" s="25" t="n">
        <x:v>0</x:v>
      </x:c>
      <x:c r="R13" s="25" t="n">
        <x:v>0</x:v>
      </x:c>
      <x:c r="S13" s="25" t="n">
        <x:f>SUM(H13:R13)</x:f>
        <x:v>456858</x:v>
      </x:c>
    </x:row>
    <x:row r="14">
      <x:c r="A14" s="22" t="str">
        <x:v>Cuivre</x:v>
      </x:c>
      <x:c r="B14" s="22" t="str">
        <x:v>cuivre_orbital</x:v>
      </x:c>
      <x:c r="C14" s="22" t="str">
        <x:v>raw</x:v>
      </x:c>
      <x:c r="D14" s="25" t="n">
        <x:v>10</x:v>
      </x:c>
      <x:c r="E14" s="25" t="n">
        <x:v>11</x:v>
      </x:c>
      <x:c r="F14" s="25" t="n">
        <x:v>1454973</x:v>
      </x:c>
      <x:c r="G14" s="63" t="n">
        <x:v>13.581944722222222</x:v>
      </x:c>
      <x:c r="H14" s="25" t="n">
        <x:v>290539</x:v>
      </x:c>
      <x:c r="I14" s="25" t="n">
        <x:v>290539</x:v>
      </x:c>
      <x:c r="J14" s="25" t="n">
        <x:v>0</x:v>
      </x:c>
      <x:c r="K14" s="25" t="n">
        <x:v>0</x:v>
      </x:c>
      <x:c r="L14" s="25" t="n">
        <x:v>0</x:v>
      </x:c>
      <x:c r="M14" s="25" t="n">
        <x:v>0</x:v>
      </x:c>
      <x:c r="N14" s="25" t="n">
        <x:v>0</x:v>
      </x:c>
      <x:c r="O14" s="25" t="n">
        <x:v>0</x:v>
      </x:c>
      <x:c r="P14" s="25" t="n">
        <x:v>0</x:v>
      </x:c>
      <x:c r="Q14" s="25" t="n">
        <x:v>0</x:v>
      </x:c>
      <x:c r="R14" s="25" t="n">
        <x:v>0</x:v>
      </x:c>
      <x:c r="S14" s="25" t="n">
        <x:f>SUM(H14:R14)</x:f>
        <x:v>581078</x:v>
      </x:c>
    </x:row>
    <x:row r="15">
      <x:c r="A15" s="22" t="str">
        <x:v>Cuivre</x:v>
      </x:c>
      <x:c r="B15" s="22" t="str">
        <x:v>cuivre_orbital</x:v>
      </x:c>
      <x:c r="C15" s="22" t="str">
        <x:v>raw</x:v>
      </x:c>
      <x:c r="D15" s="25" t="n">
        <x:v>11</x:v>
      </x:c>
      <x:c r="E15" s="25" t="n">
        <x:v>12</x:v>
      </x:c>
      <x:c r="F15" s="25" t="n">
        <x:v>1803822</x:v>
      </x:c>
      <x:c r="G15" s="63" t="n">
        <x:v>15.69893361111111</x:v>
      </x:c>
      <x:c r="H15" s="25" t="n">
        <x:v>360344</x:v>
      </x:c>
      <x:c r="I15" s="25" t="n">
        <x:v>360344</x:v>
      </x:c>
      <x:c r="J15" s="25" t="n">
        <x:v>0</x:v>
      </x:c>
      <x:c r="K15" s="25" t="n">
        <x:v>0</x:v>
      </x:c>
      <x:c r="L15" s="25" t="n">
        <x:v>0</x:v>
      </x:c>
      <x:c r="M15" s="25" t="n">
        <x:v>0</x:v>
      </x:c>
      <x:c r="N15" s="25" t="n">
        <x:v>0</x:v>
      </x:c>
      <x:c r="O15" s="25" t="n">
        <x:v>0</x:v>
      </x:c>
      <x:c r="P15" s="25" t="n">
        <x:v>0</x:v>
      </x:c>
      <x:c r="Q15" s="25" t="n">
        <x:v>0</x:v>
      </x:c>
      <x:c r="R15" s="25" t="n">
        <x:v>0</x:v>
      </x:c>
      <x:c r="S15" s="25" t="n">
        <x:f>SUM(H15:R15)</x:f>
        <x:v>720688</x:v>
      </x:c>
    </x:row>
    <x:row r="16">
      <x:c r="A16" s="22" t="str">
        <x:v>Cuivre</x:v>
      </x:c>
      <x:c r="B16" s="22" t="str">
        <x:v>cuivre_orbital</x:v>
      </x:c>
      <x:c r="C16" s="22" t="str">
        <x:v>raw</x:v>
      </x:c>
      <x:c r="D16" s="25" t="n">
        <x:v>12</x:v>
      </x:c>
      <x:c r="E16" s="25" t="n">
        <x:v>13</x:v>
      </x:c>
      <x:c r="F16" s="25" t="n">
        <x:v>2191324</x:v>
      </x:c>
      <x:c r="G16" s="63" t="n">
        <x:v>17.9192625</x:v>
      </x:c>
      <x:c r="H16" s="25" t="n">
        <x:v>437883</x:v>
      </x:c>
      <x:c r="I16" s="25" t="n">
        <x:v>437883</x:v>
      </x:c>
      <x:c r="J16" s="25" t="n">
        <x:v>0</x:v>
      </x:c>
      <x:c r="K16" s="25" t="n">
        <x:v>0</x:v>
      </x:c>
      <x:c r="L16" s="25" t="n">
        <x:v>0</x:v>
      </x:c>
      <x:c r="M16" s="25" t="n">
        <x:v>0</x:v>
      </x:c>
      <x:c r="N16" s="25" t="n">
        <x:v>0</x:v>
      </x:c>
      <x:c r="O16" s="25" t="n">
        <x:v>0</x:v>
      </x:c>
      <x:c r="P16" s="25" t="n">
        <x:v>0</x:v>
      </x:c>
      <x:c r="Q16" s="25" t="n">
        <x:v>0</x:v>
      </x:c>
      <x:c r="R16" s="25" t="n">
        <x:v>0</x:v>
      </x:c>
      <x:c r="S16" s="25" t="n">
        <x:f>SUM(H16:R16)</x:f>
        <x:v>875766</x:v>
      </x:c>
    </x:row>
    <x:row r="17">
      <x:c r="A17" s="22" t="str">
        <x:v>Cuivre</x:v>
      </x:c>
      <x:c r="B17" s="22" t="str">
        <x:v>cuivre_orbital</x:v>
      </x:c>
      <x:c r="C17" s="22" t="str">
        <x:v>raw</x:v>
      </x:c>
      <x:c r="D17" s="25" t="n">
        <x:v>13</x:v>
      </x:c>
      <x:c r="E17" s="25" t="n">
        <x:v>14</x:v>
      </x:c>
      <x:c r="F17" s="25" t="n">
        <x:v>2617665</x:v>
      </x:c>
      <x:c r="G17" s="63" t="n">
        <x:v>20.237885833333333</x:v>
      </x:c>
      <x:c r="H17" s="25" t="n">
        <x:v>523194</x:v>
      </x:c>
      <x:c r="I17" s="25" t="n">
        <x:v>523194</x:v>
      </x:c>
      <x:c r="J17" s="25" t="n">
        <x:v>0</x:v>
      </x:c>
      <x:c r="K17" s="25" t="n">
        <x:v>0</x:v>
      </x:c>
      <x:c r="L17" s="25" t="n">
        <x:v>0</x:v>
      </x:c>
      <x:c r="M17" s="25" t="n">
        <x:v>0</x:v>
      </x:c>
      <x:c r="N17" s="25" t="n">
        <x:v>0</x:v>
      </x:c>
      <x:c r="O17" s="25" t="n">
        <x:v>0</x:v>
      </x:c>
      <x:c r="P17" s="25" t="n">
        <x:v>0</x:v>
      </x:c>
      <x:c r="Q17" s="25" t="n">
        <x:v>0</x:v>
      </x:c>
      <x:c r="R17" s="25" t="n">
        <x:v>0</x:v>
      </x:c>
      <x:c r="S17" s="25" t="n">
        <x:f>SUM(H17:R17)</x:f>
        <x:v>1046388</x:v>
      </x:c>
    </x:row>
    <x:row r="18">
      <x:c r="A18" s="22" t="str">
        <x:v>Cuivre</x:v>
      </x:c>
      <x:c r="B18" s="22" t="str">
        <x:v>cuivre_orbital</x:v>
      </x:c>
      <x:c r="C18" s="22" t="str">
        <x:v>raw</x:v>
      </x:c>
      <x:c r="D18" s="25" t="n">
        <x:v>14</x:v>
      </x:c>
      <x:c r="E18" s="25" t="n">
        <x:v>15</x:v>
      </x:c>
      <x:c r="F18" s="25" t="n">
        <x:v>3083014</x:v>
      </x:c>
      <x:c r="G18" s="63" t="n">
        <x:v>22.650414444444444</x:v>
      </x:c>
      <x:c r="H18" s="25" t="n">
        <x:v>616311</x:v>
      </x:c>
      <x:c r="I18" s="25" t="n">
        <x:v>616311</x:v>
      </x:c>
      <x:c r="J18" s="25" t="n">
        <x:v>0</x:v>
      </x:c>
      <x:c r="K18" s="25" t="n">
        <x:v>0</x:v>
      </x:c>
      <x:c r="L18" s="25" t="n">
        <x:v>0</x:v>
      </x:c>
      <x:c r="M18" s="25" t="n">
        <x:v>0</x:v>
      </x:c>
      <x:c r="N18" s="25" t="n">
        <x:v>0</x:v>
      </x:c>
      <x:c r="O18" s="25" t="n">
        <x:v>0</x:v>
      </x:c>
      <x:c r="P18" s="25" t="n">
        <x:v>0</x:v>
      </x:c>
      <x:c r="Q18" s="25" t="n">
        <x:v>0</x:v>
      </x:c>
      <x:c r="R18" s="25" t="n">
        <x:v>0</x:v>
      </x:c>
      <x:c r="S18" s="25" t="n">
        <x:f>SUM(H18:R18)</x:f>
        <x:v>1232622</x:v>
      </x:c>
    </x:row>
    <x:row r="19">
      <x:c r="A19" s="22" t="str">
        <x:v>Cuivre</x:v>
      </x:c>
      <x:c r="B19" s="22" t="str">
        <x:v>cuivre_orbital</x:v>
      </x:c>
      <x:c r="C19" s="22" t="str">
        <x:v>raw</x:v>
      </x:c>
      <x:c r="D19" s="25" t="n">
        <x:v>15</x:v>
      </x:c>
      <x:c r="E19" s="25" t="n">
        <x:v>16</x:v>
      </x:c>
      <x:c r="F19" s="25" t="n">
        <x:v>3587527</x:v>
      </x:c>
      <x:c r="G19" s="63" t="n">
        <x:v>25.15298472222222</x:v>
      </x:c>
      <x:c r="H19" s="25" t="n">
        <x:v>717264</x:v>
      </x:c>
      <x:c r="I19" s="25" t="n">
        <x:v>717264</x:v>
      </x:c>
      <x:c r="J19" s="25" t="n">
        <x:v>0</x:v>
      </x:c>
      <x:c r="K19" s="25" t="n">
        <x:v>0</x:v>
      </x:c>
      <x:c r="L19" s="25" t="n">
        <x:v>0</x:v>
      </x:c>
      <x:c r="M19" s="25" t="n">
        <x:v>0</x:v>
      </x:c>
      <x:c r="N19" s="25" t="n">
        <x:v>0</x:v>
      </x:c>
      <x:c r="O19" s="25" t="n">
        <x:v>0</x:v>
      </x:c>
      <x:c r="P19" s="25" t="n">
        <x:v>0</x:v>
      </x:c>
      <x:c r="Q19" s="25" t="n">
        <x:v>0</x:v>
      </x:c>
      <x:c r="R19" s="25" t="n">
        <x:v>0</x:v>
      </x:c>
      <x:c r="S19" s="25" t="n">
        <x:f>SUM(H19:R19)</x:f>
        <x:v>1434528</x:v>
      </x:c>
    </x:row>
    <x:row r="20">
      <x:c r="A20" s="22" t="str">
        <x:v>Cuivre</x:v>
      </x:c>
      <x:c r="B20" s="22" t="str">
        <x:v>cuivre_orbital</x:v>
      </x:c>
      <x:c r="C20" s="22" t="str">
        <x:v>raw</x:v>
      </x:c>
      <x:c r="D20" s="25" t="n">
        <x:v>16</x:v>
      </x:c>
      <x:c r="E20" s="25" t="n">
        <x:v>17</x:v>
      </x:c>
      <x:c r="F20" s="25" t="n">
        <x:v>4131350</x:v>
      </x:c>
      <x:c r="G20" s="63" t="n">
        <x:v>27.7421625</x:v>
      </x:c>
      <x:c r="H20" s="25" t="n">
        <x:v>826083</x:v>
      </x:c>
      <x:c r="I20" s="25" t="n">
        <x:v>826083</x:v>
      </x:c>
      <x:c r="J20" s="25" t="n">
        <x:v>0</x:v>
      </x:c>
      <x:c r="K20" s="25" t="n">
        <x:v>0</x:v>
      </x:c>
      <x:c r="L20" s="25" t="n">
        <x:v>0</x:v>
      </x:c>
      <x:c r="M20" s="25" t="n">
        <x:v>0</x:v>
      </x:c>
      <x:c r="N20" s="25" t="n">
        <x:v>0</x:v>
      </x:c>
      <x:c r="O20" s="25" t="n">
        <x:v>0</x:v>
      </x:c>
      <x:c r="P20" s="25" t="n">
        <x:v>0</x:v>
      </x:c>
      <x:c r="Q20" s="25" t="n">
        <x:v>0</x:v>
      </x:c>
      <x:c r="R20" s="25" t="n">
        <x:v>0</x:v>
      </x:c>
      <x:c r="S20" s="25" t="n">
        <x:f>SUM(H20:R20)</x:f>
        <x:v>1652166</x:v>
      </x:c>
    </x:row>
    <x:row r="21">
      <x:c r="A21" s="22" t="str">
        <x:v>Cuivre</x:v>
      </x:c>
      <x:c r="B21" s="22" t="str">
        <x:v>cuivre_orbital</x:v>
      </x:c>
      <x:c r="C21" s="22" t="str">
        <x:v>raw</x:v>
      </x:c>
      <x:c r="D21" s="25" t="n">
        <x:v>17</x:v>
      </x:c>
      <x:c r="E21" s="25" t="n">
        <x:v>18</x:v>
      </x:c>
      <x:c r="F21" s="25" t="n">
        <x:v>4714620</x:v>
      </x:c>
      <x:c r="G21" s="63" t="n">
        <x:v>30.414869166666666</x:v>
      </x:c>
      <x:c r="H21" s="25" t="n">
        <x:v>942795</x:v>
      </x:c>
      <x:c r="I21" s="25" t="n">
        <x:v>942795</x:v>
      </x:c>
      <x:c r="J21" s="25" t="n">
        <x:v>0</x:v>
      </x:c>
      <x:c r="K21" s="25" t="n">
        <x:v>0</x:v>
      </x:c>
      <x:c r="L21" s="25" t="n">
        <x:v>0</x:v>
      </x:c>
      <x:c r="M21" s="25" t="n">
        <x:v>0</x:v>
      </x:c>
      <x:c r="N21" s="25" t="n">
        <x:v>0</x:v>
      </x:c>
      <x:c r="O21" s="25" t="n">
        <x:v>0</x:v>
      </x:c>
      <x:c r="P21" s="25" t="n">
        <x:v>0</x:v>
      </x:c>
      <x:c r="Q21" s="25" t="n">
        <x:v>0</x:v>
      </x:c>
      <x:c r="R21" s="25" t="n">
        <x:v>0</x:v>
      </x:c>
      <x:c r="S21" s="25" t="n">
        <x:f>SUM(H21:R21)</x:f>
        <x:v>1885590</x:v>
      </x:c>
    </x:row>
    <x:row r="22">
      <x:c r="A22" s="22" t="str">
        <x:v>Cuivre</x:v>
      </x:c>
      <x:c r="B22" s="22" t="str">
        <x:v>cuivre_orbital</x:v>
      </x:c>
      <x:c r="C22" s="22" t="str">
        <x:v>raw</x:v>
      </x:c>
      <x:c r="D22" s="25" t="n">
        <x:v>18</x:v>
      </x:c>
      <x:c r="E22" s="25" t="n">
        <x:v>19</x:v>
      </x:c>
      <x:c r="F22" s="25" t="n">
        <x:v>5337463</x:v>
      </x:c>
      <x:c r="G22" s="63" t="n">
        <x:v>33.168324166666665</x:v>
      </x:c>
      <x:c r="H22" s="25" t="n">
        <x:v>1067426</x:v>
      </x:c>
      <x:c r="I22" s="25" t="n">
        <x:v>1067426</x:v>
      </x:c>
      <x:c r="J22" s="25" t="n">
        <x:v>0</x:v>
      </x:c>
      <x:c r="K22" s="25" t="n">
        <x:v>0</x:v>
      </x:c>
      <x:c r="L22" s="25" t="n">
        <x:v>0</x:v>
      </x:c>
      <x:c r="M22" s="25" t="n">
        <x:v>0</x:v>
      </x:c>
      <x:c r="N22" s="25" t="n">
        <x:v>0</x:v>
      </x:c>
      <x:c r="O22" s="25" t="n">
        <x:v>0</x:v>
      </x:c>
      <x:c r="P22" s="25" t="n">
        <x:v>0</x:v>
      </x:c>
      <x:c r="Q22" s="25" t="n">
        <x:v>0</x:v>
      </x:c>
      <x:c r="R22" s="25" t="n">
        <x:v>0</x:v>
      </x:c>
      <x:c r="S22" s="25" t="n">
        <x:f>SUM(H22:R22)</x:f>
        <x:v>2134852</x:v>
      </x:c>
    </x:row>
    <x:row r="23">
      <x:c r="A23" s="22" t="str">
        <x:v>Cuivre</x:v>
      </x:c>
      <x:c r="B23" s="22" t="str">
        <x:v>cuivre_orbital</x:v>
      </x:c>
      <x:c r="C23" s="22" t="str">
        <x:v>raw</x:v>
      </x:c>
      <x:c r="D23" s="25" t="n">
        <x:v>19</x:v>
      </x:c>
      <x:c r="E23" s="25" t="n">
        <x:v>20</x:v>
      </x:c>
      <x:c r="F23" s="25" t="n">
        <x:v>6000000</x:v>
      </x:c>
      <x:c r="G23" s="63" t="n">
        <x:v>36</x:v>
      </x:c>
      <x:c r="H23" s="25" t="n">
        <x:v>1200000</x:v>
      </x:c>
      <x:c r="I23" s="25" t="n">
        <x:v>1200000</x:v>
      </x:c>
      <x:c r="J23" s="25" t="n">
        <x:v>0</x:v>
      </x:c>
      <x:c r="K23" s="25" t="n">
        <x:v>0</x:v>
      </x:c>
      <x:c r="L23" s="25" t="n">
        <x:v>0</x:v>
      </x:c>
      <x:c r="M23" s="25" t="n">
        <x:v>0</x:v>
      </x:c>
      <x:c r="N23" s="25" t="n">
        <x:v>0</x:v>
      </x:c>
      <x:c r="O23" s="25" t="n">
        <x:v>0</x:v>
      </x:c>
      <x:c r="P23" s="25" t="n">
        <x:v>0</x:v>
      </x:c>
      <x:c r="Q23" s="25" t="n">
        <x:v>0</x:v>
      </x:c>
      <x:c r="R23" s="25" t="n">
        <x:v>0</x:v>
      </x:c>
      <x:c r="S23" s="25" t="n">
        <x:f>SUM(H23:R23)</x:f>
        <x:v>2400000</x:v>
      </x:c>
    </x:row>
    <x:row r="24">
      <x:c r="A24" s="22" t="str">
        <x:v>Zinc</x:v>
      </x:c>
      <x:c r="B24" s="22" t="str">
        <x:v>zinc_spatial</x:v>
      </x:c>
      <x:c r="C24" s="22" t="str">
        <x:v>raw</x:v>
      </x:c>
      <x:c r="D24" s="25" t="n">
        <x:v>1</x:v>
      </x:c>
      <x:c r="E24" s="25" t="n">
        <x:v>2</x:v>
      </x:c>
      <x:c r="F24" s="25" t="n">
        <x:v>8000</x:v>
      </x:c>
      <x:c r="G24" s="63" t="n">
        <x:v>1</x:v>
      </x:c>
      <x:c r="H24" s="25" t="n">
        <x:v>1000</x:v>
      </x:c>
      <x:c r="I24" s="25" t="n">
        <x:v>0</x:v>
      </x:c>
      <x:c r="J24" s="25" t="n">
        <x:v>1000</x:v>
      </x:c>
      <x:c r="K24" s="25" t="n">
        <x:v>0</x:v>
      </x:c>
      <x:c r="L24" s="25" t="n">
        <x:v>0</x:v>
      </x:c>
      <x:c r="M24" s="25" t="n">
        <x:v>0</x:v>
      </x:c>
      <x:c r="N24" s="25" t="n">
        <x:v>0</x:v>
      </x:c>
      <x:c r="O24" s="25" t="n">
        <x:v>0</x:v>
      </x:c>
      <x:c r="P24" s="25" t="n">
        <x:v>0</x:v>
      </x:c>
      <x:c r="Q24" s="25" t="n">
        <x:v>0</x:v>
      </x:c>
      <x:c r="R24" s="25" t="n">
        <x:v>0</x:v>
      </x:c>
      <x:c r="S24" s="25" t="n">
        <x:f>SUM(H24:R24)</x:f>
        <x:v>2000</x:v>
      </x:c>
    </x:row>
    <x:row r="25">
      <x:c r="A25" s="22" t="str">
        <x:v>Zinc</x:v>
      </x:c>
      <x:c r="B25" s="22" t="str">
        <x:v>zinc_spatial</x:v>
      </x:c>
      <x:c r="C25" s="22" t="str">
        <x:v>raw</x:v>
      </x:c>
      <x:c r="D25" s="25" t="n">
        <x:v>2</x:v>
      </x:c>
      <x:c r="E25" s="25" t="n">
        <x:v>3</x:v>
      </x:c>
      <x:c r="F25" s="25" t="n">
        <x:v>24005</x:v>
      </x:c>
      <x:c r="G25" s="63" t="n">
        <x:v>1.4912311111111112</x:v>
      </x:c>
      <x:c r="H25" s="25" t="n">
        <x:v>4203</x:v>
      </x:c>
      <x:c r="I25" s="25" t="n">
        <x:v>0</x:v>
      </x:c>
      <x:c r="J25" s="25" t="n">
        <x:v>4203</x:v>
      </x:c>
      <x:c r="K25" s="25" t="n">
        <x:v>0</x:v>
      </x:c>
      <x:c r="L25" s="25" t="n">
        <x:v>0</x:v>
      </x:c>
      <x:c r="M25" s="25" t="n">
        <x:v>0</x:v>
      </x:c>
      <x:c r="N25" s="25" t="n">
        <x:v>0</x:v>
      </x:c>
      <x:c r="O25" s="25" t="n">
        <x:v>0</x:v>
      </x:c>
      <x:c r="P25" s="25" t="n">
        <x:v>0</x:v>
      </x:c>
      <x:c r="Q25" s="25" t="n">
        <x:v>0</x:v>
      </x:c>
      <x:c r="R25" s="25" t="n">
        <x:v>0</x:v>
      </x:c>
      <x:c r="S25" s="25" t="n">
        <x:f>SUM(H25:R25)</x:f>
        <x:v>8406</x:v>
      </x:c>
    </x:row>
    <x:row r="26">
      <x:c r="A26" s="22" t="str">
        <x:v>Zinc</x:v>
      </x:c>
      <x:c r="B26" s="22" t="str">
        <x:v>zinc_spatial</x:v>
      </x:c>
      <x:c r="C26" s="22" t="str">
        <x:v>raw</x:v>
      </x:c>
      <x:c r="D26" s="25" t="n">
        <x:v>3</x:v>
      </x:c>
      <x:c r="E26" s="25" t="n">
        <x:v>4</x:v>
      </x:c>
      <x:c r="F26" s="25" t="n">
        <x:v>74279</x:v>
      </x:c>
      <x:c r="G26" s="63" t="n">
        <x:v>2.366488888888889</x:v>
      </x:c>
      <x:c r="H26" s="25" t="n">
        <x:v>14262</x:v>
      </x:c>
      <x:c r="I26" s="25" t="n">
        <x:v>0</x:v>
      </x:c>
      <x:c r="J26" s="25" t="n">
        <x:v>14262</x:v>
      </x:c>
      <x:c r="K26" s="25" t="n">
        <x:v>0</x:v>
      </x:c>
      <x:c r="L26" s="25" t="n">
        <x:v>0</x:v>
      </x:c>
      <x:c r="M26" s="25" t="n">
        <x:v>0</x:v>
      </x:c>
      <x:c r="N26" s="25" t="n">
        <x:v>0</x:v>
      </x:c>
      <x:c r="O26" s="25" t="n">
        <x:v>0</x:v>
      </x:c>
      <x:c r="P26" s="25" t="n">
        <x:v>0</x:v>
      </x:c>
      <x:c r="Q26" s="25" t="n">
        <x:v>0</x:v>
      </x:c>
      <x:c r="R26" s="25" t="n">
        <x:v>0</x:v>
      </x:c>
      <x:c r="S26" s="25" t="n">
        <x:f>SUM(H26:R26)</x:f>
        <x:v>28524</x:v>
      </x:c>
    </x:row>
    <x:row r="27">
      <x:c r="A27" s="22" t="str">
        <x:v>Zinc</x:v>
      </x:c>
      <x:c r="B27" s="22" t="str">
        <x:v>zinc_spatial</x:v>
      </x:c>
      <x:c r="C27" s="22" t="str">
        <x:v>raw</x:v>
      </x:c>
      <x:c r="D27" s="25" t="n">
        <x:v>4</x:v>
      </x:c>
      <x:c r="E27" s="25" t="n">
        <x:v>5</x:v>
      </x:c>
      <x:c r="F27" s="25" t="n">
        <x:v>160181</x:v>
      </x:c>
      <x:c r="G27" s="63" t="n">
        <x:v>3.4860897222222222</x:v>
      </x:c>
      <x:c r="H27" s="25" t="n">
        <x:v>31452</x:v>
      </x:c>
      <x:c r="I27" s="25" t="n">
        <x:v>0</x:v>
      </x:c>
      <x:c r="J27" s="25" t="n">
        <x:v>31452</x:v>
      </x:c>
      <x:c r="K27" s="25" t="n">
        <x:v>0</x:v>
      </x:c>
      <x:c r="L27" s="25" t="n">
        <x:v>0</x:v>
      </x:c>
      <x:c r="M27" s="25" t="n">
        <x:v>0</x:v>
      </x:c>
      <x:c r="N27" s="25" t="n">
        <x:v>0</x:v>
      </x:c>
      <x:c r="O27" s="25" t="n">
        <x:v>0</x:v>
      </x:c>
      <x:c r="P27" s="25" t="n">
        <x:v>0</x:v>
      </x:c>
      <x:c r="Q27" s="25" t="n">
        <x:v>0</x:v>
      </x:c>
      <x:c r="R27" s="25" t="n">
        <x:v>0</x:v>
      </x:c>
      <x:c r="S27" s="25" t="n">
        <x:f>SUM(H27:R27)</x:f>
        <x:v>62904</x:v>
      </x:c>
    </x:row>
    <x:row r="28">
      <x:c r="A28" s="22" t="str">
        <x:v>Zinc</x:v>
      </x:c>
      <x:c r="B28" s="22" t="str">
        <x:v>zinc_spatial</x:v>
      </x:c>
      <x:c r="C28" s="22" t="str">
        <x:v>raw</x:v>
      </x:c>
      <x:c r="D28" s="25" t="n">
        <x:v>5</x:v>
      </x:c>
      <x:c r="E28" s="25" t="n">
        <x:v>6</x:v>
      </x:c>
      <x:c r="F28" s="25" t="n">
        <x:v>282464</x:v>
      </x:c>
      <x:c r="G28" s="63" t="n">
        <x:v>4.801249444444444</x:v>
      </x:c>
      <x:c r="H28" s="25" t="n">
        <x:v>55920</x:v>
      </x:c>
      <x:c r="I28" s="25" t="n">
        <x:v>0</x:v>
      </x:c>
      <x:c r="J28" s="25" t="n">
        <x:v>55920</x:v>
      </x:c>
      <x:c r="K28" s="25" t="n">
        <x:v>0</x:v>
      </x:c>
      <x:c r="L28" s="25" t="n">
        <x:v>0</x:v>
      </x:c>
      <x:c r="M28" s="25" t="n">
        <x:v>0</x:v>
      </x:c>
      <x:c r="N28" s="25" t="n">
        <x:v>0</x:v>
      </x:c>
      <x:c r="O28" s="25" t="n">
        <x:v>0</x:v>
      </x:c>
      <x:c r="P28" s="25" t="n">
        <x:v>0</x:v>
      </x:c>
      <x:c r="Q28" s="25" t="n">
        <x:v>0</x:v>
      </x:c>
      <x:c r="R28" s="25" t="n">
        <x:v>0</x:v>
      </x:c>
      <x:c r="S28" s="25" t="n">
        <x:f>SUM(H28:R28)</x:f>
        <x:v>111840</x:v>
      </x:c>
    </x:row>
    <x:row r="29">
      <x:c r="A29" s="22" t="str">
        <x:v>Zinc</x:v>
      </x:c>
      <x:c r="B29" s="22" t="str">
        <x:v>zinc_spatial</x:v>
      </x:c>
      <x:c r="C29" s="22" t="str">
        <x:v>raw</x:v>
      </x:c>
      <x:c r="D29" s="25" t="n">
        <x:v>6</x:v>
      </x:c>
      <x:c r="E29" s="25" t="n">
        <x:v>7</x:v>
      </x:c>
      <x:c r="F29" s="25" t="n">
        <x:v>441662</x:v>
      </x:c>
      <x:c r="G29" s="63" t="n">
        <x:v>6.284033333333333</x:v>
      </x:c>
      <x:c r="H29" s="25" t="n">
        <x:v>87776</x:v>
      </x:c>
      <x:c r="I29" s="25" t="n">
        <x:v>0</x:v>
      </x:c>
      <x:c r="J29" s="25" t="n">
        <x:v>87776</x:v>
      </x:c>
      <x:c r="K29" s="25" t="n">
        <x:v>0</x:v>
      </x:c>
      <x:c r="L29" s="25" t="n">
        <x:v>0</x:v>
      </x:c>
      <x:c r="M29" s="25" t="n">
        <x:v>0</x:v>
      </x:c>
      <x:c r="N29" s="25" t="n">
        <x:v>0</x:v>
      </x:c>
      <x:c r="O29" s="25" t="n">
        <x:v>0</x:v>
      </x:c>
      <x:c r="P29" s="25" t="n">
        <x:v>0</x:v>
      </x:c>
      <x:c r="Q29" s="25" t="n">
        <x:v>0</x:v>
      </x:c>
      <x:c r="R29" s="25" t="n">
        <x:v>0</x:v>
      </x:c>
      <x:c r="S29" s="25" t="n">
        <x:f>SUM(H29:R29)</x:f>
        <x:v>175552</x:v>
      </x:c>
    </x:row>
    <x:row r="30">
      <x:c r="A30" s="22" t="str">
        <x:v>Zinc</x:v>
      </x:c>
      <x:c r="B30" s="22" t="str">
        <x:v>zinc_spatial</x:v>
      </x:c>
      <x:c r="C30" s="22" t="str">
        <x:v>raw</x:v>
      </x:c>
      <x:c r="D30" s="25" t="n">
        <x:v>7</x:v>
      </x:c>
      <x:c r="E30" s="25" t="n">
        <x:v>8</x:v>
      </x:c>
      <x:c r="F30" s="25" t="n">
        <x:v>638193</x:v>
      </x:c>
      <x:c r="G30" s="63" t="n">
        <x:v>7.915714722222222</x:v>
      </x:c>
      <x:c r="H30" s="25" t="n">
        <x:v>127102</x:v>
      </x:c>
      <x:c r="I30" s="25" t="n">
        <x:v>0</x:v>
      </x:c>
      <x:c r="J30" s="25" t="n">
        <x:v>127102</x:v>
      </x:c>
      <x:c r="K30" s="25" t="n">
        <x:v>0</x:v>
      </x:c>
      <x:c r="L30" s="25" t="n">
        <x:v>0</x:v>
      </x:c>
      <x:c r="M30" s="25" t="n">
        <x:v>0</x:v>
      </x:c>
      <x:c r="N30" s="25" t="n">
        <x:v>0</x:v>
      </x:c>
      <x:c r="O30" s="25" t="n">
        <x:v>0</x:v>
      </x:c>
      <x:c r="P30" s="25" t="n">
        <x:v>0</x:v>
      </x:c>
      <x:c r="Q30" s="25" t="n">
        <x:v>0</x:v>
      </x:c>
      <x:c r="R30" s="25" t="n">
        <x:v>0</x:v>
      </x:c>
      <x:c r="S30" s="25" t="n">
        <x:f>SUM(H30:R30)</x:f>
        <x:v>254204</x:v>
      </x:c>
    </x:row>
    <x:row r="31">
      <x:c r="A31" s="22" t="str">
        <x:v>Zinc</x:v>
      </x:c>
      <x:c r="B31" s="22" t="str">
        <x:v>zinc_spatial</x:v>
      </x:c>
      <x:c r="C31" s="22" t="str">
        <x:v>raw</x:v>
      </x:c>
      <x:c r="D31" s="25" t="n">
        <x:v>8</x:v>
      </x:c>
      <x:c r="E31" s="25" t="n">
        <x:v>9</x:v>
      </x:c>
      <x:c r="F31" s="25" t="n">
        <x:v>872399</x:v>
      </x:c>
      <x:c r="G31" s="63" t="n">
        <x:v>9.682614722222223</x:v>
      </x:c>
      <x:c r="H31" s="25" t="n">
        <x:v>173966</x:v>
      </x:c>
      <x:c r="I31" s="25" t="n">
        <x:v>0</x:v>
      </x:c>
      <x:c r="J31" s="25" t="n">
        <x:v>173966</x:v>
      </x:c>
      <x:c r="K31" s="25" t="n">
        <x:v>0</x:v>
      </x:c>
      <x:c r="L31" s="25" t="n">
        <x:v>0</x:v>
      </x:c>
      <x:c r="M31" s="25" t="n">
        <x:v>0</x:v>
      </x:c>
      <x:c r="N31" s="25" t="n">
        <x:v>0</x:v>
      </x:c>
      <x:c r="O31" s="25" t="n">
        <x:v>0</x:v>
      </x:c>
      <x:c r="P31" s="25" t="n">
        <x:v>0</x:v>
      </x:c>
      <x:c r="Q31" s="25" t="n">
        <x:v>0</x:v>
      </x:c>
      <x:c r="R31" s="25" t="n">
        <x:v>0</x:v>
      </x:c>
      <x:c r="S31" s="25" t="n">
        <x:f>SUM(H31:R31)</x:f>
        <x:v>347932</x:v>
      </x:c>
    </x:row>
    <x:row r="32">
      <x:c r="A32" s="22" t="str">
        <x:v>Zinc</x:v>
      </x:c>
      <x:c r="B32" s="22" t="str">
        <x:v>zinc_spatial</x:v>
      </x:c>
      <x:c r="C32" s="22" t="str">
        <x:v>raw</x:v>
      </x:c>
      <x:c r="D32" s="25" t="n">
        <x:v>9</x:v>
      </x:c>
      <x:c r="E32" s="25" t="n">
        <x:v>10</x:v>
      </x:c>
      <x:c r="F32" s="25" t="n">
        <x:v>1144574</x:v>
      </x:c>
      <x:c r="G32" s="63" t="n">
        <x:v>11.57417888888889</x:v>
      </x:c>
      <x:c r="H32" s="25" t="n">
        <x:v>228429</x:v>
      </x:c>
      <x:c r="I32" s="25" t="n">
        <x:v>0</x:v>
      </x:c>
      <x:c r="J32" s="25" t="n">
        <x:v>228429</x:v>
      </x:c>
      <x:c r="K32" s="25" t="n">
        <x:v>0</x:v>
      </x:c>
      <x:c r="L32" s="25" t="n">
        <x:v>0</x:v>
      </x:c>
      <x:c r="M32" s="25" t="n">
        <x:v>0</x:v>
      </x:c>
      <x:c r="N32" s="25" t="n">
        <x:v>0</x:v>
      </x:c>
      <x:c r="O32" s="25" t="n">
        <x:v>0</x:v>
      </x:c>
      <x:c r="P32" s="25" t="n">
        <x:v>0</x:v>
      </x:c>
      <x:c r="Q32" s="25" t="n">
        <x:v>0</x:v>
      </x:c>
      <x:c r="R32" s="25" t="n">
        <x:v>0</x:v>
      </x:c>
      <x:c r="S32" s="25" t="n">
        <x:f>SUM(H32:R32)</x:f>
        <x:v>456858</x:v>
      </x:c>
    </x:row>
    <x:row r="33">
      <x:c r="A33" s="22" t="str">
        <x:v>Zinc</x:v>
      </x:c>
      <x:c r="B33" s="22" t="str">
        <x:v>zinc_spatial</x:v>
      </x:c>
      <x:c r="C33" s="22" t="str">
        <x:v>raw</x:v>
      </x:c>
      <x:c r="D33" s="25" t="n">
        <x:v>10</x:v>
      </x:c>
      <x:c r="E33" s="25" t="n">
        <x:v>11</x:v>
      </x:c>
      <x:c r="F33" s="25" t="n">
        <x:v>1454973</x:v>
      </x:c>
      <x:c r="G33" s="63" t="n">
        <x:v>13.581944722222222</x:v>
      </x:c>
      <x:c r="H33" s="25" t="n">
        <x:v>290539</x:v>
      </x:c>
      <x:c r="I33" s="25" t="n">
        <x:v>0</x:v>
      </x:c>
      <x:c r="J33" s="25" t="n">
        <x:v>290539</x:v>
      </x:c>
      <x:c r="K33" s="25" t="n">
        <x:v>0</x:v>
      </x:c>
      <x:c r="L33" s="25" t="n">
        <x:v>0</x:v>
      </x:c>
      <x:c r="M33" s="25" t="n">
        <x:v>0</x:v>
      </x:c>
      <x:c r="N33" s="25" t="n">
        <x:v>0</x:v>
      </x:c>
      <x:c r="O33" s="25" t="n">
        <x:v>0</x:v>
      </x:c>
      <x:c r="P33" s="25" t="n">
        <x:v>0</x:v>
      </x:c>
      <x:c r="Q33" s="25" t="n">
        <x:v>0</x:v>
      </x:c>
      <x:c r="R33" s="25" t="n">
        <x:v>0</x:v>
      </x:c>
      <x:c r="S33" s="25" t="n">
        <x:f>SUM(H33:R33)</x:f>
        <x:v>581078</x:v>
      </x:c>
    </x:row>
    <x:row r="34">
      <x:c r="A34" s="22" t="str">
        <x:v>Zinc</x:v>
      </x:c>
      <x:c r="B34" s="22" t="str">
        <x:v>zinc_spatial</x:v>
      </x:c>
      <x:c r="C34" s="22" t="str">
        <x:v>raw</x:v>
      </x:c>
      <x:c r="D34" s="25" t="n">
        <x:v>11</x:v>
      </x:c>
      <x:c r="E34" s="25" t="n">
        <x:v>12</x:v>
      </x:c>
      <x:c r="F34" s="25" t="n">
        <x:v>1803822</x:v>
      </x:c>
      <x:c r="G34" s="63" t="n">
        <x:v>15.69893361111111</x:v>
      </x:c>
      <x:c r="H34" s="25" t="n">
        <x:v>360344</x:v>
      </x:c>
      <x:c r="I34" s="25" t="n">
        <x:v>0</x:v>
      </x:c>
      <x:c r="J34" s="25" t="n">
        <x:v>360344</x:v>
      </x:c>
      <x:c r="K34" s="25" t="n">
        <x:v>0</x:v>
      </x:c>
      <x:c r="L34" s="25" t="n">
        <x:v>0</x:v>
      </x:c>
      <x:c r="M34" s="25" t="n">
        <x:v>0</x:v>
      </x:c>
      <x:c r="N34" s="25" t="n">
        <x:v>0</x:v>
      </x:c>
      <x:c r="O34" s="25" t="n">
        <x:v>0</x:v>
      </x:c>
      <x:c r="P34" s="25" t="n">
        <x:v>0</x:v>
      </x:c>
      <x:c r="Q34" s="25" t="n">
        <x:v>0</x:v>
      </x:c>
      <x:c r="R34" s="25" t="n">
        <x:v>0</x:v>
      </x:c>
      <x:c r="S34" s="25" t="n">
        <x:f>SUM(H34:R34)</x:f>
        <x:v>720688</x:v>
      </x:c>
    </x:row>
    <x:row r="35">
      <x:c r="A35" s="22" t="str">
        <x:v>Zinc</x:v>
      </x:c>
      <x:c r="B35" s="22" t="str">
        <x:v>zinc_spatial</x:v>
      </x:c>
      <x:c r="C35" s="22" t="str">
        <x:v>raw</x:v>
      </x:c>
      <x:c r="D35" s="25" t="n">
        <x:v>12</x:v>
      </x:c>
      <x:c r="E35" s="25" t="n">
        <x:v>13</x:v>
      </x:c>
      <x:c r="F35" s="25" t="n">
        <x:v>2191324</x:v>
      </x:c>
      <x:c r="G35" s="63" t="n">
        <x:v>17.9192625</x:v>
      </x:c>
      <x:c r="H35" s="25" t="n">
        <x:v>437883</x:v>
      </x:c>
      <x:c r="I35" s="25" t="n">
        <x:v>0</x:v>
      </x:c>
      <x:c r="J35" s="25" t="n">
        <x:v>437883</x:v>
      </x:c>
      <x:c r="K35" s="25" t="n">
        <x:v>0</x:v>
      </x:c>
      <x:c r="L35" s="25" t="n">
        <x:v>0</x:v>
      </x:c>
      <x:c r="M35" s="25" t="n">
        <x:v>0</x:v>
      </x:c>
      <x:c r="N35" s="25" t="n">
        <x:v>0</x:v>
      </x:c>
      <x:c r="O35" s="25" t="n">
        <x:v>0</x:v>
      </x:c>
      <x:c r="P35" s="25" t="n">
        <x:v>0</x:v>
      </x:c>
      <x:c r="Q35" s="25" t="n">
        <x:v>0</x:v>
      </x:c>
      <x:c r="R35" s="25" t="n">
        <x:v>0</x:v>
      </x:c>
      <x:c r="S35" s="25" t="n">
        <x:f>SUM(H35:R35)</x:f>
        <x:v>875766</x:v>
      </x:c>
    </x:row>
    <x:row r="36">
      <x:c r="A36" s="22" t="str">
        <x:v>Zinc</x:v>
      </x:c>
      <x:c r="B36" s="22" t="str">
        <x:v>zinc_spatial</x:v>
      </x:c>
      <x:c r="C36" s="22" t="str">
        <x:v>raw</x:v>
      </x:c>
      <x:c r="D36" s="25" t="n">
        <x:v>13</x:v>
      </x:c>
      <x:c r="E36" s="25" t="n">
        <x:v>14</x:v>
      </x:c>
      <x:c r="F36" s="25" t="n">
        <x:v>2617665</x:v>
      </x:c>
      <x:c r="G36" s="63" t="n">
        <x:v>20.237885833333333</x:v>
      </x:c>
      <x:c r="H36" s="25" t="n">
        <x:v>523194</x:v>
      </x:c>
      <x:c r="I36" s="25" t="n">
        <x:v>0</x:v>
      </x:c>
      <x:c r="J36" s="25" t="n">
        <x:v>523194</x:v>
      </x:c>
      <x:c r="K36" s="25" t="n">
        <x:v>0</x:v>
      </x:c>
      <x:c r="L36" s="25" t="n">
        <x:v>0</x:v>
      </x:c>
      <x:c r="M36" s="25" t="n">
        <x:v>0</x:v>
      </x:c>
      <x:c r="N36" s="25" t="n">
        <x:v>0</x:v>
      </x:c>
      <x:c r="O36" s="25" t="n">
        <x:v>0</x:v>
      </x:c>
      <x:c r="P36" s="25" t="n">
        <x:v>0</x:v>
      </x:c>
      <x:c r="Q36" s="25" t="n">
        <x:v>0</x:v>
      </x:c>
      <x:c r="R36" s="25" t="n">
        <x:v>0</x:v>
      </x:c>
      <x:c r="S36" s="25" t="n">
        <x:f>SUM(H36:R36)</x:f>
        <x:v>1046388</x:v>
      </x:c>
    </x:row>
    <x:row r="37">
      <x:c r="A37" s="22" t="str">
        <x:v>Zinc</x:v>
      </x:c>
      <x:c r="B37" s="22" t="str">
        <x:v>zinc_spatial</x:v>
      </x:c>
      <x:c r="C37" s="22" t="str">
        <x:v>raw</x:v>
      </x:c>
      <x:c r="D37" s="25" t="n">
        <x:v>14</x:v>
      </x:c>
      <x:c r="E37" s="25" t="n">
        <x:v>15</x:v>
      </x:c>
      <x:c r="F37" s="25" t="n">
        <x:v>3083014</x:v>
      </x:c>
      <x:c r="G37" s="63" t="n">
        <x:v>22.650414444444444</x:v>
      </x:c>
      <x:c r="H37" s="25" t="n">
        <x:v>616311</x:v>
      </x:c>
      <x:c r="I37" s="25" t="n">
        <x:v>0</x:v>
      </x:c>
      <x:c r="J37" s="25" t="n">
        <x:v>616311</x:v>
      </x:c>
      <x:c r="K37" s="25" t="n">
        <x:v>0</x:v>
      </x:c>
      <x:c r="L37" s="25" t="n">
        <x:v>0</x:v>
      </x:c>
      <x:c r="M37" s="25" t="n">
        <x:v>0</x:v>
      </x:c>
      <x:c r="N37" s="25" t="n">
        <x:v>0</x:v>
      </x:c>
      <x:c r="O37" s="25" t="n">
        <x:v>0</x:v>
      </x:c>
      <x:c r="P37" s="25" t="n">
        <x:v>0</x:v>
      </x:c>
      <x:c r="Q37" s="25" t="n">
        <x:v>0</x:v>
      </x:c>
      <x:c r="R37" s="25" t="n">
        <x:v>0</x:v>
      </x:c>
      <x:c r="S37" s="25" t="n">
        <x:f>SUM(H37:R37)</x:f>
        <x:v>1232622</x:v>
      </x:c>
    </x:row>
    <x:row r="38">
      <x:c r="A38" s="22" t="str">
        <x:v>Zinc</x:v>
      </x:c>
      <x:c r="B38" s="22" t="str">
        <x:v>zinc_spatial</x:v>
      </x:c>
      <x:c r="C38" s="22" t="str">
        <x:v>raw</x:v>
      </x:c>
      <x:c r="D38" s="25" t="n">
        <x:v>15</x:v>
      </x:c>
      <x:c r="E38" s="25" t="n">
        <x:v>16</x:v>
      </x:c>
      <x:c r="F38" s="25" t="n">
        <x:v>3587527</x:v>
      </x:c>
      <x:c r="G38" s="63" t="n">
        <x:v>25.15298472222222</x:v>
      </x:c>
      <x:c r="H38" s="25" t="n">
        <x:v>717264</x:v>
      </x:c>
      <x:c r="I38" s="25" t="n">
        <x:v>0</x:v>
      </x:c>
      <x:c r="J38" s="25" t="n">
        <x:v>717264</x:v>
      </x:c>
      <x:c r="K38" s="25" t="n">
        <x:v>0</x:v>
      </x:c>
      <x:c r="L38" s="25" t="n">
        <x:v>0</x:v>
      </x:c>
      <x:c r="M38" s="25" t="n">
        <x:v>0</x:v>
      </x:c>
      <x:c r="N38" s="25" t="n">
        <x:v>0</x:v>
      </x:c>
      <x:c r="O38" s="25" t="n">
        <x:v>0</x:v>
      </x:c>
      <x:c r="P38" s="25" t="n">
        <x:v>0</x:v>
      </x:c>
      <x:c r="Q38" s="25" t="n">
        <x:v>0</x:v>
      </x:c>
      <x:c r="R38" s="25" t="n">
        <x:v>0</x:v>
      </x:c>
      <x:c r="S38" s="25" t="n">
        <x:f>SUM(H38:R38)</x:f>
        <x:v>1434528</x:v>
      </x:c>
    </x:row>
    <x:row r="39">
      <x:c r="A39" s="22" t="str">
        <x:v>Zinc</x:v>
      </x:c>
      <x:c r="B39" s="22" t="str">
        <x:v>zinc_spatial</x:v>
      </x:c>
      <x:c r="C39" s="22" t="str">
        <x:v>raw</x:v>
      </x:c>
      <x:c r="D39" s="25" t="n">
        <x:v>16</x:v>
      </x:c>
      <x:c r="E39" s="25" t="n">
        <x:v>17</x:v>
      </x:c>
      <x:c r="F39" s="25" t="n">
        <x:v>4131350</x:v>
      </x:c>
      <x:c r="G39" s="63" t="n">
        <x:v>27.7421625</x:v>
      </x:c>
      <x:c r="H39" s="25" t="n">
        <x:v>826083</x:v>
      </x:c>
      <x:c r="I39" s="25" t="n">
        <x:v>0</x:v>
      </x:c>
      <x:c r="J39" s="25" t="n">
        <x:v>826083</x:v>
      </x:c>
      <x:c r="K39" s="25" t="n">
        <x:v>0</x:v>
      </x:c>
      <x:c r="L39" s="25" t="n">
        <x:v>0</x:v>
      </x:c>
      <x:c r="M39" s="25" t="n">
        <x:v>0</x:v>
      </x:c>
      <x:c r="N39" s="25" t="n">
        <x:v>0</x:v>
      </x:c>
      <x:c r="O39" s="25" t="n">
        <x:v>0</x:v>
      </x:c>
      <x:c r="P39" s="25" t="n">
        <x:v>0</x:v>
      </x:c>
      <x:c r="Q39" s="25" t="n">
        <x:v>0</x:v>
      </x:c>
      <x:c r="R39" s="25" t="n">
        <x:v>0</x:v>
      </x:c>
      <x:c r="S39" s="25" t="n">
        <x:f>SUM(H39:R39)</x:f>
        <x:v>1652166</x:v>
      </x:c>
    </x:row>
    <x:row r="40">
      <x:c r="A40" s="22" t="str">
        <x:v>Zinc</x:v>
      </x:c>
      <x:c r="B40" s="22" t="str">
        <x:v>zinc_spatial</x:v>
      </x:c>
      <x:c r="C40" s="22" t="str">
        <x:v>raw</x:v>
      </x:c>
      <x:c r="D40" s="25" t="n">
        <x:v>17</x:v>
      </x:c>
      <x:c r="E40" s="25" t="n">
        <x:v>18</x:v>
      </x:c>
      <x:c r="F40" s="25" t="n">
        <x:v>4714620</x:v>
      </x:c>
      <x:c r="G40" s="63" t="n">
        <x:v>30.414869166666666</x:v>
      </x:c>
      <x:c r="H40" s="25" t="n">
        <x:v>942795</x:v>
      </x:c>
      <x:c r="I40" s="25" t="n">
        <x:v>0</x:v>
      </x:c>
      <x:c r="J40" s="25" t="n">
        <x:v>942795</x:v>
      </x:c>
      <x:c r="K40" s="25" t="n">
        <x:v>0</x:v>
      </x:c>
      <x:c r="L40" s="25" t="n">
        <x:v>0</x:v>
      </x:c>
      <x:c r="M40" s="25" t="n">
        <x:v>0</x:v>
      </x:c>
      <x:c r="N40" s="25" t="n">
        <x:v>0</x:v>
      </x:c>
      <x:c r="O40" s="25" t="n">
        <x:v>0</x:v>
      </x:c>
      <x:c r="P40" s="25" t="n">
        <x:v>0</x:v>
      </x:c>
      <x:c r="Q40" s="25" t="n">
        <x:v>0</x:v>
      </x:c>
      <x:c r="R40" s="25" t="n">
        <x:v>0</x:v>
      </x:c>
      <x:c r="S40" s="25" t="n">
        <x:f>SUM(H40:R40)</x:f>
        <x:v>1885590</x:v>
      </x:c>
    </x:row>
    <x:row r="41">
      <x:c r="A41" s="22" t="str">
        <x:v>Zinc</x:v>
      </x:c>
      <x:c r="B41" s="22" t="str">
        <x:v>zinc_spatial</x:v>
      </x:c>
      <x:c r="C41" s="22" t="str">
        <x:v>raw</x:v>
      </x:c>
      <x:c r="D41" s="25" t="n">
        <x:v>18</x:v>
      </x:c>
      <x:c r="E41" s="25" t="n">
        <x:v>19</x:v>
      </x:c>
      <x:c r="F41" s="25" t="n">
        <x:v>5337463</x:v>
      </x:c>
      <x:c r="G41" s="63" t="n">
        <x:v>33.168324166666665</x:v>
      </x:c>
      <x:c r="H41" s="25" t="n">
        <x:v>1067426</x:v>
      </x:c>
      <x:c r="I41" s="25" t="n">
        <x:v>0</x:v>
      </x:c>
      <x:c r="J41" s="25" t="n">
        <x:v>1067426</x:v>
      </x:c>
      <x:c r="K41" s="25" t="n">
        <x:v>0</x:v>
      </x:c>
      <x:c r="L41" s="25" t="n">
        <x:v>0</x:v>
      </x:c>
      <x:c r="M41" s="25" t="n">
        <x:v>0</x:v>
      </x:c>
      <x:c r="N41" s="25" t="n">
        <x:v>0</x:v>
      </x:c>
      <x:c r="O41" s="25" t="n">
        <x:v>0</x:v>
      </x:c>
      <x:c r="P41" s="25" t="n">
        <x:v>0</x:v>
      </x:c>
      <x:c r="Q41" s="25" t="n">
        <x:v>0</x:v>
      </x:c>
      <x:c r="R41" s="25" t="n">
        <x:v>0</x:v>
      </x:c>
      <x:c r="S41" s="25" t="n">
        <x:f>SUM(H41:R41)</x:f>
        <x:v>2134852</x:v>
      </x:c>
    </x:row>
    <x:row r="42">
      <x:c r="A42" s="22" t="str">
        <x:v>Zinc</x:v>
      </x:c>
      <x:c r="B42" s="22" t="str">
        <x:v>zinc_spatial</x:v>
      </x:c>
      <x:c r="C42" s="22" t="str">
        <x:v>raw</x:v>
      </x:c>
      <x:c r="D42" s="25" t="n">
        <x:v>19</x:v>
      </x:c>
      <x:c r="E42" s="25" t="n">
        <x:v>20</x:v>
      </x:c>
      <x:c r="F42" s="25" t="n">
        <x:v>6000000</x:v>
      </x:c>
      <x:c r="G42" s="63" t="n">
        <x:v>36</x:v>
      </x:c>
      <x:c r="H42" s="25" t="n">
        <x:v>1200000</x:v>
      </x:c>
      <x:c r="I42" s="25" t="n">
        <x:v>0</x:v>
      </x:c>
      <x:c r="J42" s="25" t="n">
        <x:v>1200000</x:v>
      </x:c>
      <x:c r="K42" s="25" t="n">
        <x:v>0</x:v>
      </x:c>
      <x:c r="L42" s="25" t="n">
        <x:v>0</x:v>
      </x:c>
      <x:c r="M42" s="25" t="n">
        <x:v>0</x:v>
      </x:c>
      <x:c r="N42" s="25" t="n">
        <x:v>0</x:v>
      </x:c>
      <x:c r="O42" s="25" t="n">
        <x:v>0</x:v>
      </x:c>
      <x:c r="P42" s="25" t="n">
        <x:v>0</x:v>
      </x:c>
      <x:c r="Q42" s="25" t="n">
        <x:v>0</x:v>
      </x:c>
      <x:c r="R42" s="25" t="n">
        <x:v>0</x:v>
      </x:c>
      <x:c r="S42" s="25" t="n">
        <x:f>SUM(H42:R42)</x:f>
        <x:v>2400000</x:v>
      </x:c>
    </x:row>
    <x:row r="43">
      <x:c r="A43" s="22" t="str">
        <x:v>Nickel</x:v>
      </x:c>
      <x:c r="B43" s="22" t="str">
        <x:v>nickel_brut</x:v>
      </x:c>
      <x:c r="C43" s="22" t="str">
        <x:v>raw</x:v>
      </x:c>
      <x:c r="D43" s="25" t="n">
        <x:v>1</x:v>
      </x:c>
      <x:c r="E43" s="25" t="n">
        <x:v>2</x:v>
      </x:c>
      <x:c r="F43" s="25" t="n">
        <x:v>8000</x:v>
      </x:c>
      <x:c r="G43" s="63" t="n">
        <x:v>1</x:v>
      </x:c>
      <x:c r="H43" s="25" t="n">
        <x:v>0</x:v>
      </x:c>
      <x:c r="I43" s="25" t="n">
        <x:v>1000</x:v>
      </x:c>
      <x:c r="J43" s="25" t="n">
        <x:v>0</x:v>
      </x:c>
      <x:c r="K43" s="25" t="n">
        <x:v>1000</x:v>
      </x:c>
      <x:c r="L43" s="25" t="n">
        <x:v>0</x:v>
      </x:c>
      <x:c r="M43" s="25" t="n">
        <x:v>0</x:v>
      </x:c>
      <x:c r="N43" s="25" t="n">
        <x:v>0</x:v>
      </x:c>
      <x:c r="O43" s="25" t="n">
        <x:v>0</x:v>
      </x:c>
      <x:c r="P43" s="25" t="n">
        <x:v>0</x:v>
      </x:c>
      <x:c r="Q43" s="25" t="n">
        <x:v>0</x:v>
      </x:c>
      <x:c r="R43" s="25" t="n">
        <x:v>0</x:v>
      </x:c>
      <x:c r="S43" s="25" t="n">
        <x:f>SUM(H43:R43)</x:f>
        <x:v>2000</x:v>
      </x:c>
    </x:row>
    <x:row r="44">
      <x:c r="A44" s="22" t="str">
        <x:v>Nickel</x:v>
      </x:c>
      <x:c r="B44" s="22" t="str">
        <x:v>nickel_brut</x:v>
      </x:c>
      <x:c r="C44" s="22" t="str">
        <x:v>raw</x:v>
      </x:c>
      <x:c r="D44" s="25" t="n">
        <x:v>2</x:v>
      </x:c>
      <x:c r="E44" s="25" t="n">
        <x:v>3</x:v>
      </x:c>
      <x:c r="F44" s="25" t="n">
        <x:v>24005</x:v>
      </x:c>
      <x:c r="G44" s="63" t="n">
        <x:v>1.4912311111111112</x:v>
      </x:c>
      <x:c r="H44" s="25" t="n">
        <x:v>0</x:v>
      </x:c>
      <x:c r="I44" s="25" t="n">
        <x:v>4203</x:v>
      </x:c>
      <x:c r="J44" s="25" t="n">
        <x:v>0</x:v>
      </x:c>
      <x:c r="K44" s="25" t="n">
        <x:v>4203</x:v>
      </x:c>
      <x:c r="L44" s="25" t="n">
        <x:v>0</x:v>
      </x:c>
      <x:c r="M44" s="25" t="n">
        <x:v>0</x:v>
      </x:c>
      <x:c r="N44" s="25" t="n">
        <x:v>0</x:v>
      </x:c>
      <x:c r="O44" s="25" t="n">
        <x:v>0</x:v>
      </x:c>
      <x:c r="P44" s="25" t="n">
        <x:v>0</x:v>
      </x:c>
      <x:c r="Q44" s="25" t="n">
        <x:v>0</x:v>
      </x:c>
      <x:c r="R44" s="25" t="n">
        <x:v>0</x:v>
      </x:c>
      <x:c r="S44" s="25" t="n">
        <x:f>SUM(H44:R44)</x:f>
        <x:v>8406</x:v>
      </x:c>
    </x:row>
    <x:row r="45">
      <x:c r="A45" s="22" t="str">
        <x:v>Nickel</x:v>
      </x:c>
      <x:c r="B45" s="22" t="str">
        <x:v>nickel_brut</x:v>
      </x:c>
      <x:c r="C45" s="22" t="str">
        <x:v>raw</x:v>
      </x:c>
      <x:c r="D45" s="25" t="n">
        <x:v>3</x:v>
      </x:c>
      <x:c r="E45" s="25" t="n">
        <x:v>4</x:v>
      </x:c>
      <x:c r="F45" s="25" t="n">
        <x:v>74279</x:v>
      </x:c>
      <x:c r="G45" s="63" t="n">
        <x:v>2.366488888888889</x:v>
      </x:c>
      <x:c r="H45" s="25" t="n">
        <x:v>0</x:v>
      </x:c>
      <x:c r="I45" s="25" t="n">
        <x:v>14262</x:v>
      </x:c>
      <x:c r="J45" s="25" t="n">
        <x:v>0</x:v>
      </x:c>
      <x:c r="K45" s="25" t="n">
        <x:v>14262</x:v>
      </x:c>
      <x:c r="L45" s="25" t="n">
        <x:v>0</x:v>
      </x:c>
      <x:c r="M45" s="25" t="n">
        <x:v>0</x:v>
      </x:c>
      <x:c r="N45" s="25" t="n">
        <x:v>0</x:v>
      </x:c>
      <x:c r="O45" s="25" t="n">
        <x:v>0</x:v>
      </x:c>
      <x:c r="P45" s="25" t="n">
        <x:v>0</x:v>
      </x:c>
      <x:c r="Q45" s="25" t="n">
        <x:v>0</x:v>
      </x:c>
      <x:c r="R45" s="25" t="n">
        <x:v>0</x:v>
      </x:c>
      <x:c r="S45" s="25" t="n">
        <x:f>SUM(H45:R45)</x:f>
        <x:v>28524</x:v>
      </x:c>
    </x:row>
    <x:row r="46">
      <x:c r="A46" s="22" t="str">
        <x:v>Nickel</x:v>
      </x:c>
      <x:c r="B46" s="22" t="str">
        <x:v>nickel_brut</x:v>
      </x:c>
      <x:c r="C46" s="22" t="str">
        <x:v>raw</x:v>
      </x:c>
      <x:c r="D46" s="25" t="n">
        <x:v>4</x:v>
      </x:c>
      <x:c r="E46" s="25" t="n">
        <x:v>5</x:v>
      </x:c>
      <x:c r="F46" s="25" t="n">
        <x:v>160181</x:v>
      </x:c>
      <x:c r="G46" s="63" t="n">
        <x:v>3.4860897222222222</x:v>
      </x:c>
      <x:c r="H46" s="25" t="n">
        <x:v>0</x:v>
      </x:c>
      <x:c r="I46" s="25" t="n">
        <x:v>31452</x:v>
      </x:c>
      <x:c r="J46" s="25" t="n">
        <x:v>0</x:v>
      </x:c>
      <x:c r="K46" s="25" t="n">
        <x:v>31452</x:v>
      </x:c>
      <x:c r="L46" s="25" t="n">
        <x:v>0</x:v>
      </x:c>
      <x:c r="M46" s="25" t="n">
        <x:v>0</x:v>
      </x:c>
      <x:c r="N46" s="25" t="n">
        <x:v>0</x:v>
      </x:c>
      <x:c r="O46" s="25" t="n">
        <x:v>0</x:v>
      </x:c>
      <x:c r="P46" s="25" t="n">
        <x:v>0</x:v>
      </x:c>
      <x:c r="Q46" s="25" t="n">
        <x:v>0</x:v>
      </x:c>
      <x:c r="R46" s="25" t="n">
        <x:v>0</x:v>
      </x:c>
      <x:c r="S46" s="25" t="n">
        <x:f>SUM(H46:R46)</x:f>
        <x:v>62904</x:v>
      </x:c>
    </x:row>
    <x:row r="47">
      <x:c r="A47" s="22" t="str">
        <x:v>Nickel</x:v>
      </x:c>
      <x:c r="B47" s="22" t="str">
        <x:v>nickel_brut</x:v>
      </x:c>
      <x:c r="C47" s="22" t="str">
        <x:v>raw</x:v>
      </x:c>
      <x:c r="D47" s="25" t="n">
        <x:v>5</x:v>
      </x:c>
      <x:c r="E47" s="25" t="n">
        <x:v>6</x:v>
      </x:c>
      <x:c r="F47" s="25" t="n">
        <x:v>282464</x:v>
      </x:c>
      <x:c r="G47" s="63" t="n">
        <x:v>4.801249444444444</x:v>
      </x:c>
      <x:c r="H47" s="25" t="n">
        <x:v>0</x:v>
      </x:c>
      <x:c r="I47" s="25" t="n">
        <x:v>55920</x:v>
      </x:c>
      <x:c r="J47" s="25" t="n">
        <x:v>0</x:v>
      </x:c>
      <x:c r="K47" s="25" t="n">
        <x:v>55920</x:v>
      </x:c>
      <x:c r="L47" s="25" t="n">
        <x:v>0</x:v>
      </x:c>
      <x:c r="M47" s="25" t="n">
        <x:v>0</x:v>
      </x:c>
      <x:c r="N47" s="25" t="n">
        <x:v>0</x:v>
      </x:c>
      <x:c r="O47" s="25" t="n">
        <x:v>0</x:v>
      </x:c>
      <x:c r="P47" s="25" t="n">
        <x:v>0</x:v>
      </x:c>
      <x:c r="Q47" s="25" t="n">
        <x:v>0</x:v>
      </x:c>
      <x:c r="R47" s="25" t="n">
        <x:v>0</x:v>
      </x:c>
      <x:c r="S47" s="25" t="n">
        <x:f>SUM(H47:R47)</x:f>
        <x:v>111840</x:v>
      </x:c>
    </x:row>
    <x:row r="48">
      <x:c r="A48" s="22" t="str">
        <x:v>Nickel</x:v>
      </x:c>
      <x:c r="B48" s="22" t="str">
        <x:v>nickel_brut</x:v>
      </x:c>
      <x:c r="C48" s="22" t="str">
        <x:v>raw</x:v>
      </x:c>
      <x:c r="D48" s="25" t="n">
        <x:v>6</x:v>
      </x:c>
      <x:c r="E48" s="25" t="n">
        <x:v>7</x:v>
      </x:c>
      <x:c r="F48" s="25" t="n">
        <x:v>441662</x:v>
      </x:c>
      <x:c r="G48" s="63" t="n">
        <x:v>6.284033333333333</x:v>
      </x:c>
      <x:c r="H48" s="25" t="n">
        <x:v>0</x:v>
      </x:c>
      <x:c r="I48" s="25" t="n">
        <x:v>87776</x:v>
      </x:c>
      <x:c r="J48" s="25" t="n">
        <x:v>0</x:v>
      </x:c>
      <x:c r="K48" s="25" t="n">
        <x:v>87776</x:v>
      </x:c>
      <x:c r="L48" s="25" t="n">
        <x:v>0</x:v>
      </x:c>
      <x:c r="M48" s="25" t="n">
        <x:v>0</x:v>
      </x:c>
      <x:c r="N48" s="25" t="n">
        <x:v>0</x:v>
      </x:c>
      <x:c r="O48" s="25" t="n">
        <x:v>0</x:v>
      </x:c>
      <x:c r="P48" s="25" t="n">
        <x:v>0</x:v>
      </x:c>
      <x:c r="Q48" s="25" t="n">
        <x:v>0</x:v>
      </x:c>
      <x:c r="R48" s="25" t="n">
        <x:v>0</x:v>
      </x:c>
      <x:c r="S48" s="25" t="n">
        <x:f>SUM(H48:R48)</x:f>
        <x:v>175552</x:v>
      </x:c>
    </x:row>
    <x:row r="49">
      <x:c r="A49" s="22" t="str">
        <x:v>Nickel</x:v>
      </x:c>
      <x:c r="B49" s="22" t="str">
        <x:v>nickel_brut</x:v>
      </x:c>
      <x:c r="C49" s="22" t="str">
        <x:v>raw</x:v>
      </x:c>
      <x:c r="D49" s="25" t="n">
        <x:v>7</x:v>
      </x:c>
      <x:c r="E49" s="25" t="n">
        <x:v>8</x:v>
      </x:c>
      <x:c r="F49" s="25" t="n">
        <x:v>638193</x:v>
      </x:c>
      <x:c r="G49" s="63" t="n">
        <x:v>7.915714722222222</x:v>
      </x:c>
      <x:c r="H49" s="25" t="n">
        <x:v>0</x:v>
      </x:c>
      <x:c r="I49" s="25" t="n">
        <x:v>127102</x:v>
      </x:c>
      <x:c r="J49" s="25" t="n">
        <x:v>0</x:v>
      </x:c>
      <x:c r="K49" s="25" t="n">
        <x:v>127102</x:v>
      </x:c>
      <x:c r="L49" s="25" t="n">
        <x:v>0</x:v>
      </x:c>
      <x:c r="M49" s="25" t="n">
        <x:v>0</x:v>
      </x:c>
      <x:c r="N49" s="25" t="n">
        <x:v>0</x:v>
      </x:c>
      <x:c r="O49" s="25" t="n">
        <x:v>0</x:v>
      </x:c>
      <x:c r="P49" s="25" t="n">
        <x:v>0</x:v>
      </x:c>
      <x:c r="Q49" s="25" t="n">
        <x:v>0</x:v>
      </x:c>
      <x:c r="R49" s="25" t="n">
        <x:v>0</x:v>
      </x:c>
      <x:c r="S49" s="25" t="n">
        <x:f>SUM(H49:R49)</x:f>
        <x:v>254204</x:v>
      </x:c>
    </x:row>
    <x:row r="50">
      <x:c r="A50" s="22" t="str">
        <x:v>Nickel</x:v>
      </x:c>
      <x:c r="B50" s="22" t="str">
        <x:v>nickel_brut</x:v>
      </x:c>
      <x:c r="C50" s="22" t="str">
        <x:v>raw</x:v>
      </x:c>
      <x:c r="D50" s="25" t="n">
        <x:v>8</x:v>
      </x:c>
      <x:c r="E50" s="25" t="n">
        <x:v>9</x:v>
      </x:c>
      <x:c r="F50" s="25" t="n">
        <x:v>872399</x:v>
      </x:c>
      <x:c r="G50" s="63" t="n">
        <x:v>9.682614722222223</x:v>
      </x:c>
      <x:c r="H50" s="25" t="n">
        <x:v>0</x:v>
      </x:c>
      <x:c r="I50" s="25" t="n">
        <x:v>173966</x:v>
      </x:c>
      <x:c r="J50" s="25" t="n">
        <x:v>0</x:v>
      </x:c>
      <x:c r="K50" s="25" t="n">
        <x:v>173966</x:v>
      </x:c>
      <x:c r="L50" s="25" t="n">
        <x:v>0</x:v>
      </x:c>
      <x:c r="M50" s="25" t="n">
        <x:v>0</x:v>
      </x:c>
      <x:c r="N50" s="25" t="n">
        <x:v>0</x:v>
      </x:c>
      <x:c r="O50" s="25" t="n">
        <x:v>0</x:v>
      </x:c>
      <x:c r="P50" s="25" t="n">
        <x:v>0</x:v>
      </x:c>
      <x:c r="Q50" s="25" t="n">
        <x:v>0</x:v>
      </x:c>
      <x:c r="R50" s="25" t="n">
        <x:v>0</x:v>
      </x:c>
      <x:c r="S50" s="25" t="n">
        <x:f>SUM(H50:R50)</x:f>
        <x:v>347932</x:v>
      </x:c>
    </x:row>
    <x:row r="51">
      <x:c r="A51" s="22" t="str">
        <x:v>Nickel</x:v>
      </x:c>
      <x:c r="B51" s="22" t="str">
        <x:v>nickel_brut</x:v>
      </x:c>
      <x:c r="C51" s="22" t="str">
        <x:v>raw</x:v>
      </x:c>
      <x:c r="D51" s="25" t="n">
        <x:v>9</x:v>
      </x:c>
      <x:c r="E51" s="25" t="n">
        <x:v>10</x:v>
      </x:c>
      <x:c r="F51" s="25" t="n">
        <x:v>1144574</x:v>
      </x:c>
      <x:c r="G51" s="63" t="n">
        <x:v>11.57417888888889</x:v>
      </x:c>
      <x:c r="H51" s="25" t="n">
        <x:v>0</x:v>
      </x:c>
      <x:c r="I51" s="25" t="n">
        <x:v>228429</x:v>
      </x:c>
      <x:c r="J51" s="25" t="n">
        <x:v>0</x:v>
      </x:c>
      <x:c r="K51" s="25" t="n">
        <x:v>228429</x:v>
      </x:c>
      <x:c r="L51" s="25" t="n">
        <x:v>0</x:v>
      </x:c>
      <x:c r="M51" s="25" t="n">
        <x:v>0</x:v>
      </x:c>
      <x:c r="N51" s="25" t="n">
        <x:v>0</x:v>
      </x:c>
      <x:c r="O51" s="25" t="n">
        <x:v>0</x:v>
      </x:c>
      <x:c r="P51" s="25" t="n">
        <x:v>0</x:v>
      </x:c>
      <x:c r="Q51" s="25" t="n">
        <x:v>0</x:v>
      </x:c>
      <x:c r="R51" s="25" t="n">
        <x:v>0</x:v>
      </x:c>
      <x:c r="S51" s="25" t="n">
        <x:f>SUM(H51:R51)</x:f>
        <x:v>456858</x:v>
      </x:c>
    </x:row>
    <x:row r="52">
      <x:c r="A52" s="22" t="str">
        <x:v>Nickel</x:v>
      </x:c>
      <x:c r="B52" s="22" t="str">
        <x:v>nickel_brut</x:v>
      </x:c>
      <x:c r="C52" s="22" t="str">
        <x:v>raw</x:v>
      </x:c>
      <x:c r="D52" s="25" t="n">
        <x:v>10</x:v>
      </x:c>
      <x:c r="E52" s="25" t="n">
        <x:v>11</x:v>
      </x:c>
      <x:c r="F52" s="25" t="n">
        <x:v>1454973</x:v>
      </x:c>
      <x:c r="G52" s="63" t="n">
        <x:v>13.581944722222222</x:v>
      </x:c>
      <x:c r="H52" s="25" t="n">
        <x:v>0</x:v>
      </x:c>
      <x:c r="I52" s="25" t="n">
        <x:v>290539</x:v>
      </x:c>
      <x:c r="J52" s="25" t="n">
        <x:v>0</x:v>
      </x:c>
      <x:c r="K52" s="25" t="n">
        <x:v>290539</x:v>
      </x:c>
      <x:c r="L52" s="25" t="n">
        <x:v>0</x:v>
      </x:c>
      <x:c r="M52" s="25" t="n">
        <x:v>0</x:v>
      </x:c>
      <x:c r="N52" s="25" t="n">
        <x:v>0</x:v>
      </x:c>
      <x:c r="O52" s="25" t="n">
        <x:v>0</x:v>
      </x:c>
      <x:c r="P52" s="25" t="n">
        <x:v>0</x:v>
      </x:c>
      <x:c r="Q52" s="25" t="n">
        <x:v>0</x:v>
      </x:c>
      <x:c r="R52" s="25" t="n">
        <x:v>0</x:v>
      </x:c>
      <x:c r="S52" s="25" t="n">
        <x:f>SUM(H52:R52)</x:f>
        <x:v>581078</x:v>
      </x:c>
    </x:row>
    <x:row r="53">
      <x:c r="A53" s="22" t="str">
        <x:v>Nickel</x:v>
      </x:c>
      <x:c r="B53" s="22" t="str">
        <x:v>nickel_brut</x:v>
      </x:c>
      <x:c r="C53" s="22" t="str">
        <x:v>raw</x:v>
      </x:c>
      <x:c r="D53" s="25" t="n">
        <x:v>11</x:v>
      </x:c>
      <x:c r="E53" s="25" t="n">
        <x:v>12</x:v>
      </x:c>
      <x:c r="F53" s="25" t="n">
        <x:v>1803822</x:v>
      </x:c>
      <x:c r="G53" s="63" t="n">
        <x:v>15.69893361111111</x:v>
      </x:c>
      <x:c r="H53" s="25" t="n">
        <x:v>0</x:v>
      </x:c>
      <x:c r="I53" s="25" t="n">
        <x:v>360344</x:v>
      </x:c>
      <x:c r="J53" s="25" t="n">
        <x:v>0</x:v>
      </x:c>
      <x:c r="K53" s="25" t="n">
        <x:v>360344</x:v>
      </x:c>
      <x:c r="L53" s="25" t="n">
        <x:v>0</x:v>
      </x:c>
      <x:c r="M53" s="25" t="n">
        <x:v>0</x:v>
      </x:c>
      <x:c r="N53" s="25" t="n">
        <x:v>0</x:v>
      </x:c>
      <x:c r="O53" s="25" t="n">
        <x:v>0</x:v>
      </x:c>
      <x:c r="P53" s="25" t="n">
        <x:v>0</x:v>
      </x:c>
      <x:c r="Q53" s="25" t="n">
        <x:v>0</x:v>
      </x:c>
      <x:c r="R53" s="25" t="n">
        <x:v>0</x:v>
      </x:c>
      <x:c r="S53" s="25" t="n">
        <x:f>SUM(H53:R53)</x:f>
        <x:v>720688</x:v>
      </x:c>
    </x:row>
    <x:row r="54">
      <x:c r="A54" s="22" t="str">
        <x:v>Nickel</x:v>
      </x:c>
      <x:c r="B54" s="22" t="str">
        <x:v>nickel_brut</x:v>
      </x:c>
      <x:c r="C54" s="22" t="str">
        <x:v>raw</x:v>
      </x:c>
      <x:c r="D54" s="25" t="n">
        <x:v>12</x:v>
      </x:c>
      <x:c r="E54" s="25" t="n">
        <x:v>13</x:v>
      </x:c>
      <x:c r="F54" s="25" t="n">
        <x:v>2191324</x:v>
      </x:c>
      <x:c r="G54" s="63" t="n">
        <x:v>17.9192625</x:v>
      </x:c>
      <x:c r="H54" s="25" t="n">
        <x:v>0</x:v>
      </x:c>
      <x:c r="I54" s="25" t="n">
        <x:v>437883</x:v>
      </x:c>
      <x:c r="J54" s="25" t="n">
        <x:v>0</x:v>
      </x:c>
      <x:c r="K54" s="25" t="n">
        <x:v>437883</x:v>
      </x:c>
      <x:c r="L54" s="25" t="n">
        <x:v>0</x:v>
      </x:c>
      <x:c r="M54" s="25" t="n">
        <x:v>0</x:v>
      </x:c>
      <x:c r="N54" s="25" t="n">
        <x:v>0</x:v>
      </x:c>
      <x:c r="O54" s="25" t="n">
        <x:v>0</x:v>
      </x:c>
      <x:c r="P54" s="25" t="n">
        <x:v>0</x:v>
      </x:c>
      <x:c r="Q54" s="25" t="n">
        <x:v>0</x:v>
      </x:c>
      <x:c r="R54" s="25" t="n">
        <x:v>0</x:v>
      </x:c>
      <x:c r="S54" s="25" t="n">
        <x:f>SUM(H54:R54)</x:f>
        <x:v>875766</x:v>
      </x:c>
    </x:row>
    <x:row r="55">
      <x:c r="A55" s="22" t="str">
        <x:v>Nickel</x:v>
      </x:c>
      <x:c r="B55" s="22" t="str">
        <x:v>nickel_brut</x:v>
      </x:c>
      <x:c r="C55" s="22" t="str">
        <x:v>raw</x:v>
      </x:c>
      <x:c r="D55" s="25" t="n">
        <x:v>13</x:v>
      </x:c>
      <x:c r="E55" s="25" t="n">
        <x:v>14</x:v>
      </x:c>
      <x:c r="F55" s="25" t="n">
        <x:v>2617665</x:v>
      </x:c>
      <x:c r="G55" s="63" t="n">
        <x:v>20.237885833333333</x:v>
      </x:c>
      <x:c r="H55" s="25" t="n">
        <x:v>0</x:v>
      </x:c>
      <x:c r="I55" s="25" t="n">
        <x:v>523194</x:v>
      </x:c>
      <x:c r="J55" s="25" t="n">
        <x:v>0</x:v>
      </x:c>
      <x:c r="K55" s="25" t="n">
        <x:v>523194</x:v>
      </x:c>
      <x:c r="L55" s="25" t="n">
        <x:v>0</x:v>
      </x:c>
      <x:c r="M55" s="25" t="n">
        <x:v>0</x:v>
      </x:c>
      <x:c r="N55" s="25" t="n">
        <x:v>0</x:v>
      </x:c>
      <x:c r="O55" s="25" t="n">
        <x:v>0</x:v>
      </x:c>
      <x:c r="P55" s="25" t="n">
        <x:v>0</x:v>
      </x:c>
      <x:c r="Q55" s="25" t="n">
        <x:v>0</x:v>
      </x:c>
      <x:c r="R55" s="25" t="n">
        <x:v>0</x:v>
      </x:c>
      <x:c r="S55" s="25" t="n">
        <x:f>SUM(H55:R55)</x:f>
        <x:v>1046388</x:v>
      </x:c>
    </x:row>
    <x:row r="56">
      <x:c r="A56" s="22" t="str">
        <x:v>Nickel</x:v>
      </x:c>
      <x:c r="B56" s="22" t="str">
        <x:v>nickel_brut</x:v>
      </x:c>
      <x:c r="C56" s="22" t="str">
        <x:v>raw</x:v>
      </x:c>
      <x:c r="D56" s="25" t="n">
        <x:v>14</x:v>
      </x:c>
      <x:c r="E56" s="25" t="n">
        <x:v>15</x:v>
      </x:c>
      <x:c r="F56" s="25" t="n">
        <x:v>3083014</x:v>
      </x:c>
      <x:c r="G56" s="63" t="n">
        <x:v>22.650414444444444</x:v>
      </x:c>
      <x:c r="H56" s="25" t="n">
        <x:v>0</x:v>
      </x:c>
      <x:c r="I56" s="25" t="n">
        <x:v>616311</x:v>
      </x:c>
      <x:c r="J56" s="25" t="n">
        <x:v>0</x:v>
      </x:c>
      <x:c r="K56" s="25" t="n">
        <x:v>616311</x:v>
      </x:c>
      <x:c r="L56" s="25" t="n">
        <x:v>0</x:v>
      </x:c>
      <x:c r="M56" s="25" t="n">
        <x:v>0</x:v>
      </x:c>
      <x:c r="N56" s="25" t="n">
        <x:v>0</x:v>
      </x:c>
      <x:c r="O56" s="25" t="n">
        <x:v>0</x:v>
      </x:c>
      <x:c r="P56" s="25" t="n">
        <x:v>0</x:v>
      </x:c>
      <x:c r="Q56" s="25" t="n">
        <x:v>0</x:v>
      </x:c>
      <x:c r="R56" s="25" t="n">
        <x:v>0</x:v>
      </x:c>
      <x:c r="S56" s="25" t="n">
        <x:f>SUM(H56:R56)</x:f>
        <x:v>1232622</x:v>
      </x:c>
    </x:row>
    <x:row r="57">
      <x:c r="A57" s="22" t="str">
        <x:v>Nickel</x:v>
      </x:c>
      <x:c r="B57" s="22" t="str">
        <x:v>nickel_brut</x:v>
      </x:c>
      <x:c r="C57" s="22" t="str">
        <x:v>raw</x:v>
      </x:c>
      <x:c r="D57" s="25" t="n">
        <x:v>15</x:v>
      </x:c>
      <x:c r="E57" s="25" t="n">
        <x:v>16</x:v>
      </x:c>
      <x:c r="F57" s="25" t="n">
        <x:v>3587527</x:v>
      </x:c>
      <x:c r="G57" s="63" t="n">
        <x:v>25.15298472222222</x:v>
      </x:c>
      <x:c r="H57" s="25" t="n">
        <x:v>0</x:v>
      </x:c>
      <x:c r="I57" s="25" t="n">
        <x:v>717264</x:v>
      </x:c>
      <x:c r="J57" s="25" t="n">
        <x:v>0</x:v>
      </x:c>
      <x:c r="K57" s="25" t="n">
        <x:v>717264</x:v>
      </x:c>
      <x:c r="L57" s="25" t="n">
        <x:v>0</x:v>
      </x:c>
      <x:c r="M57" s="25" t="n">
        <x:v>0</x:v>
      </x:c>
      <x:c r="N57" s="25" t="n">
        <x:v>0</x:v>
      </x:c>
      <x:c r="O57" s="25" t="n">
        <x:v>0</x:v>
      </x:c>
      <x:c r="P57" s="25" t="n">
        <x:v>0</x:v>
      </x:c>
      <x:c r="Q57" s="25" t="n">
        <x:v>0</x:v>
      </x:c>
      <x:c r="R57" s="25" t="n">
        <x:v>0</x:v>
      </x:c>
      <x:c r="S57" s="25" t="n">
        <x:f>SUM(H57:R57)</x:f>
        <x:v>1434528</x:v>
      </x:c>
    </x:row>
    <x:row r="58">
      <x:c r="A58" s="22" t="str">
        <x:v>Nickel</x:v>
      </x:c>
      <x:c r="B58" s="22" t="str">
        <x:v>nickel_brut</x:v>
      </x:c>
      <x:c r="C58" s="22" t="str">
        <x:v>raw</x:v>
      </x:c>
      <x:c r="D58" s="25" t="n">
        <x:v>16</x:v>
      </x:c>
      <x:c r="E58" s="25" t="n">
        <x:v>17</x:v>
      </x:c>
      <x:c r="F58" s="25" t="n">
        <x:v>4131350</x:v>
      </x:c>
      <x:c r="G58" s="63" t="n">
        <x:v>27.7421625</x:v>
      </x:c>
      <x:c r="H58" s="25" t="n">
        <x:v>0</x:v>
      </x:c>
      <x:c r="I58" s="25" t="n">
        <x:v>826083</x:v>
      </x:c>
      <x:c r="J58" s="25" t="n">
        <x:v>0</x:v>
      </x:c>
      <x:c r="K58" s="25" t="n">
        <x:v>826083</x:v>
      </x:c>
      <x:c r="L58" s="25" t="n">
        <x:v>0</x:v>
      </x:c>
      <x:c r="M58" s="25" t="n">
        <x:v>0</x:v>
      </x:c>
      <x:c r="N58" s="25" t="n">
        <x:v>0</x:v>
      </x:c>
      <x:c r="O58" s="25" t="n">
        <x:v>0</x:v>
      </x:c>
      <x:c r="P58" s="25" t="n">
        <x:v>0</x:v>
      </x:c>
      <x:c r="Q58" s="25" t="n">
        <x:v>0</x:v>
      </x:c>
      <x:c r="R58" s="25" t="n">
        <x:v>0</x:v>
      </x:c>
      <x:c r="S58" s="25" t="n">
        <x:f>SUM(H58:R58)</x:f>
        <x:v>1652166</x:v>
      </x:c>
    </x:row>
    <x:row r="59">
      <x:c r="A59" s="22" t="str">
        <x:v>Nickel</x:v>
      </x:c>
      <x:c r="B59" s="22" t="str">
        <x:v>nickel_brut</x:v>
      </x:c>
      <x:c r="C59" s="22" t="str">
        <x:v>raw</x:v>
      </x:c>
      <x:c r="D59" s="25" t="n">
        <x:v>17</x:v>
      </x:c>
      <x:c r="E59" s="25" t="n">
        <x:v>18</x:v>
      </x:c>
      <x:c r="F59" s="25" t="n">
        <x:v>4714620</x:v>
      </x:c>
      <x:c r="G59" s="63" t="n">
        <x:v>30.414869166666666</x:v>
      </x:c>
      <x:c r="H59" s="25" t="n">
        <x:v>0</x:v>
      </x:c>
      <x:c r="I59" s="25" t="n">
        <x:v>942795</x:v>
      </x:c>
      <x:c r="J59" s="25" t="n">
        <x:v>0</x:v>
      </x:c>
      <x:c r="K59" s="25" t="n">
        <x:v>942795</x:v>
      </x:c>
      <x:c r="L59" s="25" t="n">
        <x:v>0</x:v>
      </x:c>
      <x:c r="M59" s="25" t="n">
        <x:v>0</x:v>
      </x:c>
      <x:c r="N59" s="25" t="n">
        <x:v>0</x:v>
      </x:c>
      <x:c r="O59" s="25" t="n">
        <x:v>0</x:v>
      </x:c>
      <x:c r="P59" s="25" t="n">
        <x:v>0</x:v>
      </x:c>
      <x:c r="Q59" s="25" t="n">
        <x:v>0</x:v>
      </x:c>
      <x:c r="R59" s="25" t="n">
        <x:v>0</x:v>
      </x:c>
      <x:c r="S59" s="25" t="n">
        <x:f>SUM(H59:R59)</x:f>
        <x:v>1885590</x:v>
      </x:c>
    </x:row>
    <x:row r="60">
      <x:c r="A60" s="22" t="str">
        <x:v>Nickel</x:v>
      </x:c>
      <x:c r="B60" s="22" t="str">
        <x:v>nickel_brut</x:v>
      </x:c>
      <x:c r="C60" s="22" t="str">
        <x:v>raw</x:v>
      </x:c>
      <x:c r="D60" s="25" t="n">
        <x:v>18</x:v>
      </x:c>
      <x:c r="E60" s="25" t="n">
        <x:v>19</x:v>
      </x:c>
      <x:c r="F60" s="25" t="n">
        <x:v>5337463</x:v>
      </x:c>
      <x:c r="G60" s="63" t="n">
        <x:v>33.168324166666665</x:v>
      </x:c>
      <x:c r="H60" s="25" t="n">
        <x:v>0</x:v>
      </x:c>
      <x:c r="I60" s="25" t="n">
        <x:v>1067426</x:v>
      </x:c>
      <x:c r="J60" s="25" t="n">
        <x:v>0</x:v>
      </x:c>
      <x:c r="K60" s="25" t="n">
        <x:v>1067426</x:v>
      </x:c>
      <x:c r="L60" s="25" t="n">
        <x:v>0</x:v>
      </x:c>
      <x:c r="M60" s="25" t="n">
        <x:v>0</x:v>
      </x:c>
      <x:c r="N60" s="25" t="n">
        <x:v>0</x:v>
      </x:c>
      <x:c r="O60" s="25" t="n">
        <x:v>0</x:v>
      </x:c>
      <x:c r="P60" s="25" t="n">
        <x:v>0</x:v>
      </x:c>
      <x:c r="Q60" s="25" t="n">
        <x:v>0</x:v>
      </x:c>
      <x:c r="R60" s="25" t="n">
        <x:v>0</x:v>
      </x:c>
      <x:c r="S60" s="25" t="n">
        <x:f>SUM(H60:R60)</x:f>
        <x:v>2134852</x:v>
      </x:c>
    </x:row>
    <x:row r="61">
      <x:c r="A61" s="22" t="str">
        <x:v>Nickel</x:v>
      </x:c>
      <x:c r="B61" s="22" t="str">
        <x:v>nickel_brut</x:v>
      </x:c>
      <x:c r="C61" s="22" t="str">
        <x:v>raw</x:v>
      </x:c>
      <x:c r="D61" s="25" t="n">
        <x:v>19</x:v>
      </x:c>
      <x:c r="E61" s="25" t="n">
        <x:v>20</x:v>
      </x:c>
      <x:c r="F61" s="25" t="n">
        <x:v>6000000</x:v>
      </x:c>
      <x:c r="G61" s="63" t="n">
        <x:v>36</x:v>
      </x:c>
      <x:c r="H61" s="25" t="n">
        <x:v>0</x:v>
      </x:c>
      <x:c r="I61" s="25" t="n">
        <x:v>1200000</x:v>
      </x:c>
      <x:c r="J61" s="25" t="n">
        <x:v>0</x:v>
      </x:c>
      <x:c r="K61" s="25" t="n">
        <x:v>1200000</x:v>
      </x:c>
      <x:c r="L61" s="25" t="n">
        <x:v>0</x:v>
      </x:c>
      <x:c r="M61" s="25" t="n">
        <x:v>0</x:v>
      </x:c>
      <x:c r="N61" s="25" t="n">
        <x:v>0</x:v>
      </x:c>
      <x:c r="O61" s="25" t="n">
        <x:v>0</x:v>
      </x:c>
      <x:c r="P61" s="25" t="n">
        <x:v>0</x:v>
      </x:c>
      <x:c r="Q61" s="25" t="n">
        <x:v>0</x:v>
      </x:c>
      <x:c r="R61" s="25" t="n">
        <x:v>0</x:v>
      </x:c>
      <x:c r="S61" s="25" t="n">
        <x:f>SUM(H61:R61)</x:f>
        <x:v>2400000</x:v>
      </x:c>
    </x:row>
    <x:row r="62">
      <x:c r="A62" s="22" t="str">
        <x:v>Titane</x:v>
      </x:c>
      <x:c r="B62" s="22" t="str">
        <x:v>titane_fissure</x:v>
      </x:c>
      <x:c r="C62" s="22" t="str">
        <x:v>raw</x:v>
      </x:c>
      <x:c r="D62" s="25" t="n">
        <x:v>1</x:v>
      </x:c>
      <x:c r="E62" s="25" t="n">
        <x:v>2</x:v>
      </x:c>
      <x:c r="F62" s="25" t="n">
        <x:v>8000</x:v>
      </x:c>
      <x:c r="G62" s="63" t="n">
        <x:v>1</x:v>
      </x:c>
      <x:c r="H62" s="25" t="n">
        <x:v>0</x:v>
      </x:c>
      <x:c r="I62" s="25" t="n">
        <x:v>0</x:v>
      </x:c>
      <x:c r="J62" s="25" t="n">
        <x:v>1000</x:v>
      </x:c>
      <x:c r="K62" s="25" t="n">
        <x:v>0</x:v>
      </x:c>
      <x:c r="L62" s="25" t="n">
        <x:v>1000</x:v>
      </x:c>
      <x:c r="M62" s="25" t="n">
        <x:v>0</x:v>
      </x:c>
      <x:c r="N62" s="25" t="n">
        <x:v>0</x:v>
      </x:c>
      <x:c r="O62" s="25" t="n">
        <x:v>0</x:v>
      </x:c>
      <x:c r="P62" s="25" t="n">
        <x:v>0</x:v>
      </x:c>
      <x:c r="Q62" s="25" t="n">
        <x:v>0</x:v>
      </x:c>
      <x:c r="R62" s="25" t="n">
        <x:v>0</x:v>
      </x:c>
      <x:c r="S62" s="25" t="n">
        <x:f>SUM(H62:R62)</x:f>
        <x:v>2000</x:v>
      </x:c>
    </x:row>
    <x:row r="63">
      <x:c r="A63" s="22" t="str">
        <x:v>Titane</x:v>
      </x:c>
      <x:c r="B63" s="22" t="str">
        <x:v>titane_fissure</x:v>
      </x:c>
      <x:c r="C63" s="22" t="str">
        <x:v>raw</x:v>
      </x:c>
      <x:c r="D63" s="25" t="n">
        <x:v>2</x:v>
      </x:c>
      <x:c r="E63" s="25" t="n">
        <x:v>3</x:v>
      </x:c>
      <x:c r="F63" s="25" t="n">
        <x:v>24005</x:v>
      </x:c>
      <x:c r="G63" s="63" t="n">
        <x:v>1.4912311111111112</x:v>
      </x:c>
      <x:c r="H63" s="25" t="n">
        <x:v>0</x:v>
      </x:c>
      <x:c r="I63" s="25" t="n">
        <x:v>0</x:v>
      </x:c>
      <x:c r="J63" s="25" t="n">
        <x:v>4203</x:v>
      </x:c>
      <x:c r="K63" s="25" t="n">
        <x:v>0</x:v>
      </x:c>
      <x:c r="L63" s="25" t="n">
        <x:v>4203</x:v>
      </x:c>
      <x:c r="M63" s="25" t="n">
        <x:v>0</x:v>
      </x:c>
      <x:c r="N63" s="25" t="n">
        <x:v>0</x:v>
      </x:c>
      <x:c r="O63" s="25" t="n">
        <x:v>0</x:v>
      </x:c>
      <x:c r="P63" s="25" t="n">
        <x:v>0</x:v>
      </x:c>
      <x:c r="Q63" s="25" t="n">
        <x:v>0</x:v>
      </x:c>
      <x:c r="R63" s="25" t="n">
        <x:v>0</x:v>
      </x:c>
      <x:c r="S63" s="25" t="n">
        <x:f>SUM(H63:R63)</x:f>
        <x:v>8406</x:v>
      </x:c>
    </x:row>
    <x:row r="64">
      <x:c r="A64" s="22" t="str">
        <x:v>Titane</x:v>
      </x:c>
      <x:c r="B64" s="22" t="str">
        <x:v>titane_fissure</x:v>
      </x:c>
      <x:c r="C64" s="22" t="str">
        <x:v>raw</x:v>
      </x:c>
      <x:c r="D64" s="25" t="n">
        <x:v>3</x:v>
      </x:c>
      <x:c r="E64" s="25" t="n">
        <x:v>4</x:v>
      </x:c>
      <x:c r="F64" s="25" t="n">
        <x:v>74279</x:v>
      </x:c>
      <x:c r="G64" s="63" t="n">
        <x:v>2.366488888888889</x:v>
      </x:c>
      <x:c r="H64" s="25" t="n">
        <x:v>0</x:v>
      </x:c>
      <x:c r="I64" s="25" t="n">
        <x:v>0</x:v>
      </x:c>
      <x:c r="J64" s="25" t="n">
        <x:v>14262</x:v>
      </x:c>
      <x:c r="K64" s="25" t="n">
        <x:v>0</x:v>
      </x:c>
      <x:c r="L64" s="25" t="n">
        <x:v>14262</x:v>
      </x:c>
      <x:c r="M64" s="25" t="n">
        <x:v>0</x:v>
      </x:c>
      <x:c r="N64" s="25" t="n">
        <x:v>0</x:v>
      </x:c>
      <x:c r="O64" s="25" t="n">
        <x:v>0</x:v>
      </x:c>
      <x:c r="P64" s="25" t="n">
        <x:v>0</x:v>
      </x:c>
      <x:c r="Q64" s="25" t="n">
        <x:v>0</x:v>
      </x:c>
      <x:c r="R64" s="25" t="n">
        <x:v>0</x:v>
      </x:c>
      <x:c r="S64" s="25" t="n">
        <x:f>SUM(H64:R64)</x:f>
        <x:v>28524</x:v>
      </x:c>
    </x:row>
    <x:row r="65">
      <x:c r="A65" s="22" t="str">
        <x:v>Titane</x:v>
      </x:c>
      <x:c r="B65" s="22" t="str">
        <x:v>titane_fissure</x:v>
      </x:c>
      <x:c r="C65" s="22" t="str">
        <x:v>raw</x:v>
      </x:c>
      <x:c r="D65" s="25" t="n">
        <x:v>4</x:v>
      </x:c>
      <x:c r="E65" s="25" t="n">
        <x:v>5</x:v>
      </x:c>
      <x:c r="F65" s="25" t="n">
        <x:v>160181</x:v>
      </x:c>
      <x:c r="G65" s="63" t="n">
        <x:v>3.4860897222222222</x:v>
      </x:c>
      <x:c r="H65" s="25" t="n">
        <x:v>0</x:v>
      </x:c>
      <x:c r="I65" s="25" t="n">
        <x:v>0</x:v>
      </x:c>
      <x:c r="J65" s="25" t="n">
        <x:v>31452</x:v>
      </x:c>
      <x:c r="K65" s="25" t="n">
        <x:v>0</x:v>
      </x:c>
      <x:c r="L65" s="25" t="n">
        <x:v>31452</x:v>
      </x:c>
      <x:c r="M65" s="25" t="n">
        <x:v>0</x:v>
      </x:c>
      <x:c r="N65" s="25" t="n">
        <x:v>0</x:v>
      </x:c>
      <x:c r="O65" s="25" t="n">
        <x:v>0</x:v>
      </x:c>
      <x:c r="P65" s="25" t="n">
        <x:v>0</x:v>
      </x:c>
      <x:c r="Q65" s="25" t="n">
        <x:v>0</x:v>
      </x:c>
      <x:c r="R65" s="25" t="n">
        <x:v>0</x:v>
      </x:c>
      <x:c r="S65" s="25" t="n">
        <x:f>SUM(H65:R65)</x:f>
        <x:v>62904</x:v>
      </x:c>
    </x:row>
    <x:row r="66">
      <x:c r="A66" s="22" t="str">
        <x:v>Titane</x:v>
      </x:c>
      <x:c r="B66" s="22" t="str">
        <x:v>titane_fissure</x:v>
      </x:c>
      <x:c r="C66" s="22" t="str">
        <x:v>raw</x:v>
      </x:c>
      <x:c r="D66" s="25" t="n">
        <x:v>5</x:v>
      </x:c>
      <x:c r="E66" s="25" t="n">
        <x:v>6</x:v>
      </x:c>
      <x:c r="F66" s="25" t="n">
        <x:v>282464</x:v>
      </x:c>
      <x:c r="G66" s="63" t="n">
        <x:v>4.801249444444444</x:v>
      </x:c>
      <x:c r="H66" s="25" t="n">
        <x:v>0</x:v>
      </x:c>
      <x:c r="I66" s="25" t="n">
        <x:v>0</x:v>
      </x:c>
      <x:c r="J66" s="25" t="n">
        <x:v>55920</x:v>
      </x:c>
      <x:c r="K66" s="25" t="n">
        <x:v>0</x:v>
      </x:c>
      <x:c r="L66" s="25" t="n">
        <x:v>55920</x:v>
      </x:c>
      <x:c r="M66" s="25" t="n">
        <x:v>0</x:v>
      </x:c>
      <x:c r="N66" s="25" t="n">
        <x:v>0</x:v>
      </x:c>
      <x:c r="O66" s="25" t="n">
        <x:v>0</x:v>
      </x:c>
      <x:c r="P66" s="25" t="n">
        <x:v>0</x:v>
      </x:c>
      <x:c r="Q66" s="25" t="n">
        <x:v>0</x:v>
      </x:c>
      <x:c r="R66" s="25" t="n">
        <x:v>0</x:v>
      </x:c>
      <x:c r="S66" s="25" t="n">
        <x:f>SUM(H66:R66)</x:f>
        <x:v>111840</x:v>
      </x:c>
    </x:row>
    <x:row r="67">
      <x:c r="A67" s="22" t="str">
        <x:v>Titane</x:v>
      </x:c>
      <x:c r="B67" s="22" t="str">
        <x:v>titane_fissure</x:v>
      </x:c>
      <x:c r="C67" s="22" t="str">
        <x:v>raw</x:v>
      </x:c>
      <x:c r="D67" s="25" t="n">
        <x:v>6</x:v>
      </x:c>
      <x:c r="E67" s="25" t="n">
        <x:v>7</x:v>
      </x:c>
      <x:c r="F67" s="25" t="n">
        <x:v>441662</x:v>
      </x:c>
      <x:c r="G67" s="63" t="n">
        <x:v>6.284033333333333</x:v>
      </x:c>
      <x:c r="H67" s="25" t="n">
        <x:v>0</x:v>
      </x:c>
      <x:c r="I67" s="25" t="n">
        <x:v>0</x:v>
      </x:c>
      <x:c r="J67" s="25" t="n">
        <x:v>87776</x:v>
      </x:c>
      <x:c r="K67" s="25" t="n">
        <x:v>0</x:v>
      </x:c>
      <x:c r="L67" s="25" t="n">
        <x:v>87776</x:v>
      </x:c>
      <x:c r="M67" s="25" t="n">
        <x:v>0</x:v>
      </x:c>
      <x:c r="N67" s="25" t="n">
        <x:v>0</x:v>
      </x:c>
      <x:c r="O67" s="25" t="n">
        <x:v>0</x:v>
      </x:c>
      <x:c r="P67" s="25" t="n">
        <x:v>0</x:v>
      </x:c>
      <x:c r="Q67" s="25" t="n">
        <x:v>0</x:v>
      </x:c>
      <x:c r="R67" s="25" t="n">
        <x:v>0</x:v>
      </x:c>
      <x:c r="S67" s="25" t="n">
        <x:f>SUM(H67:R67)</x:f>
        <x:v>175552</x:v>
      </x:c>
    </x:row>
    <x:row r="68">
      <x:c r="A68" s="22" t="str">
        <x:v>Titane</x:v>
      </x:c>
      <x:c r="B68" s="22" t="str">
        <x:v>titane_fissure</x:v>
      </x:c>
      <x:c r="C68" s="22" t="str">
        <x:v>raw</x:v>
      </x:c>
      <x:c r="D68" s="25" t="n">
        <x:v>7</x:v>
      </x:c>
      <x:c r="E68" s="25" t="n">
        <x:v>8</x:v>
      </x:c>
      <x:c r="F68" s="25" t="n">
        <x:v>638193</x:v>
      </x:c>
      <x:c r="G68" s="63" t="n">
        <x:v>7.915714722222222</x:v>
      </x:c>
      <x:c r="H68" s="25" t="n">
        <x:v>0</x:v>
      </x:c>
      <x:c r="I68" s="25" t="n">
        <x:v>0</x:v>
      </x:c>
      <x:c r="J68" s="25" t="n">
        <x:v>127102</x:v>
      </x:c>
      <x:c r="K68" s="25" t="n">
        <x:v>0</x:v>
      </x:c>
      <x:c r="L68" s="25" t="n">
        <x:v>127102</x:v>
      </x:c>
      <x:c r="M68" s="25" t="n">
        <x:v>0</x:v>
      </x:c>
      <x:c r="N68" s="25" t="n">
        <x:v>0</x:v>
      </x:c>
      <x:c r="O68" s="25" t="n">
        <x:v>0</x:v>
      </x:c>
      <x:c r="P68" s="25" t="n">
        <x:v>0</x:v>
      </x:c>
      <x:c r="Q68" s="25" t="n">
        <x:v>0</x:v>
      </x:c>
      <x:c r="R68" s="25" t="n">
        <x:v>0</x:v>
      </x:c>
      <x:c r="S68" s="25" t="n">
        <x:f>SUM(H68:R68)</x:f>
        <x:v>254204</x:v>
      </x:c>
    </x:row>
    <x:row r="69">
      <x:c r="A69" s="22" t="str">
        <x:v>Titane</x:v>
      </x:c>
      <x:c r="B69" s="22" t="str">
        <x:v>titane_fissure</x:v>
      </x:c>
      <x:c r="C69" s="22" t="str">
        <x:v>raw</x:v>
      </x:c>
      <x:c r="D69" s="25" t="n">
        <x:v>8</x:v>
      </x:c>
      <x:c r="E69" s="25" t="n">
        <x:v>9</x:v>
      </x:c>
      <x:c r="F69" s="25" t="n">
        <x:v>872399</x:v>
      </x:c>
      <x:c r="G69" s="63" t="n">
        <x:v>9.682614722222223</x:v>
      </x:c>
      <x:c r="H69" s="25" t="n">
        <x:v>0</x:v>
      </x:c>
      <x:c r="I69" s="25" t="n">
        <x:v>0</x:v>
      </x:c>
      <x:c r="J69" s="25" t="n">
        <x:v>173966</x:v>
      </x:c>
      <x:c r="K69" s="25" t="n">
        <x:v>0</x:v>
      </x:c>
      <x:c r="L69" s="25" t="n">
        <x:v>173966</x:v>
      </x:c>
      <x:c r="M69" s="25" t="n">
        <x:v>0</x:v>
      </x:c>
      <x:c r="N69" s="25" t="n">
        <x:v>0</x:v>
      </x:c>
      <x:c r="O69" s="25" t="n">
        <x:v>0</x:v>
      </x:c>
      <x:c r="P69" s="25" t="n">
        <x:v>0</x:v>
      </x:c>
      <x:c r="Q69" s="25" t="n">
        <x:v>0</x:v>
      </x:c>
      <x:c r="R69" s="25" t="n">
        <x:v>0</x:v>
      </x:c>
      <x:c r="S69" s="25" t="n">
        <x:f>SUM(H69:R69)</x:f>
        <x:v>347932</x:v>
      </x:c>
    </x:row>
    <x:row r="70">
      <x:c r="A70" s="22" t="str">
        <x:v>Titane</x:v>
      </x:c>
      <x:c r="B70" s="22" t="str">
        <x:v>titane_fissure</x:v>
      </x:c>
      <x:c r="C70" s="22" t="str">
        <x:v>raw</x:v>
      </x:c>
      <x:c r="D70" s="25" t="n">
        <x:v>9</x:v>
      </x:c>
      <x:c r="E70" s="25" t="n">
        <x:v>10</x:v>
      </x:c>
      <x:c r="F70" s="25" t="n">
        <x:v>1144574</x:v>
      </x:c>
      <x:c r="G70" s="63" t="n">
        <x:v>11.57417888888889</x:v>
      </x:c>
      <x:c r="H70" s="25" t="n">
        <x:v>0</x:v>
      </x:c>
      <x:c r="I70" s="25" t="n">
        <x:v>0</x:v>
      </x:c>
      <x:c r="J70" s="25" t="n">
        <x:v>228429</x:v>
      </x:c>
      <x:c r="K70" s="25" t="n">
        <x:v>0</x:v>
      </x:c>
      <x:c r="L70" s="25" t="n">
        <x:v>228429</x:v>
      </x:c>
      <x:c r="M70" s="25" t="n">
        <x:v>0</x:v>
      </x:c>
      <x:c r="N70" s="25" t="n">
        <x:v>0</x:v>
      </x:c>
      <x:c r="O70" s="25" t="n">
        <x:v>0</x:v>
      </x:c>
      <x:c r="P70" s="25" t="n">
        <x:v>0</x:v>
      </x:c>
      <x:c r="Q70" s="25" t="n">
        <x:v>0</x:v>
      </x:c>
      <x:c r="R70" s="25" t="n">
        <x:v>0</x:v>
      </x:c>
      <x:c r="S70" s="25" t="n">
        <x:f>SUM(H70:R70)</x:f>
        <x:v>456858</x:v>
      </x:c>
    </x:row>
    <x:row r="71">
      <x:c r="A71" s="22" t="str">
        <x:v>Titane</x:v>
      </x:c>
      <x:c r="B71" s="22" t="str">
        <x:v>titane_fissure</x:v>
      </x:c>
      <x:c r="C71" s="22" t="str">
        <x:v>raw</x:v>
      </x:c>
      <x:c r="D71" s="25" t="n">
        <x:v>10</x:v>
      </x:c>
      <x:c r="E71" s="25" t="n">
        <x:v>11</x:v>
      </x:c>
      <x:c r="F71" s="25" t="n">
        <x:v>1454973</x:v>
      </x:c>
      <x:c r="G71" s="63" t="n">
        <x:v>13.581944722222222</x:v>
      </x:c>
      <x:c r="H71" s="25" t="n">
        <x:v>0</x:v>
      </x:c>
      <x:c r="I71" s="25" t="n">
        <x:v>0</x:v>
      </x:c>
      <x:c r="J71" s="25" t="n">
        <x:v>290539</x:v>
      </x:c>
      <x:c r="K71" s="25" t="n">
        <x:v>0</x:v>
      </x:c>
      <x:c r="L71" s="25" t="n">
        <x:v>290539</x:v>
      </x:c>
      <x:c r="M71" s="25" t="n">
        <x:v>0</x:v>
      </x:c>
      <x:c r="N71" s="25" t="n">
        <x:v>0</x:v>
      </x:c>
      <x:c r="O71" s="25" t="n">
        <x:v>0</x:v>
      </x:c>
      <x:c r="P71" s="25" t="n">
        <x:v>0</x:v>
      </x:c>
      <x:c r="Q71" s="25" t="n">
        <x:v>0</x:v>
      </x:c>
      <x:c r="R71" s="25" t="n">
        <x:v>0</x:v>
      </x:c>
      <x:c r="S71" s="25" t="n">
        <x:f>SUM(H71:R71)</x:f>
        <x:v>581078</x:v>
      </x:c>
    </x:row>
    <x:row r="72">
      <x:c r="A72" s="22" t="str">
        <x:v>Titane</x:v>
      </x:c>
      <x:c r="B72" s="22" t="str">
        <x:v>titane_fissure</x:v>
      </x:c>
      <x:c r="C72" s="22" t="str">
        <x:v>raw</x:v>
      </x:c>
      <x:c r="D72" s="25" t="n">
        <x:v>11</x:v>
      </x:c>
      <x:c r="E72" s="25" t="n">
        <x:v>12</x:v>
      </x:c>
      <x:c r="F72" s="25" t="n">
        <x:v>1803822</x:v>
      </x:c>
      <x:c r="G72" s="63" t="n">
        <x:v>15.69893361111111</x:v>
      </x:c>
      <x:c r="H72" s="25" t="n">
        <x:v>0</x:v>
      </x:c>
      <x:c r="I72" s="25" t="n">
        <x:v>0</x:v>
      </x:c>
      <x:c r="J72" s="25" t="n">
        <x:v>360344</x:v>
      </x:c>
      <x:c r="K72" s="25" t="n">
        <x:v>0</x:v>
      </x:c>
      <x:c r="L72" s="25" t="n">
        <x:v>360344</x:v>
      </x:c>
      <x:c r="M72" s="25" t="n">
        <x:v>0</x:v>
      </x:c>
      <x:c r="N72" s="25" t="n">
        <x:v>0</x:v>
      </x:c>
      <x:c r="O72" s="25" t="n">
        <x:v>0</x:v>
      </x:c>
      <x:c r="P72" s="25" t="n">
        <x:v>0</x:v>
      </x:c>
      <x:c r="Q72" s="25" t="n">
        <x:v>0</x:v>
      </x:c>
      <x:c r="R72" s="25" t="n">
        <x:v>0</x:v>
      </x:c>
      <x:c r="S72" s="25" t="n">
        <x:f>SUM(H72:R72)</x:f>
        <x:v>720688</x:v>
      </x:c>
    </x:row>
    <x:row r="73">
      <x:c r="A73" s="22" t="str">
        <x:v>Titane</x:v>
      </x:c>
      <x:c r="B73" s="22" t="str">
        <x:v>titane_fissure</x:v>
      </x:c>
      <x:c r="C73" s="22" t="str">
        <x:v>raw</x:v>
      </x:c>
      <x:c r="D73" s="25" t="n">
        <x:v>12</x:v>
      </x:c>
      <x:c r="E73" s="25" t="n">
        <x:v>13</x:v>
      </x:c>
      <x:c r="F73" s="25" t="n">
        <x:v>2191324</x:v>
      </x:c>
      <x:c r="G73" s="63" t="n">
        <x:v>17.9192625</x:v>
      </x:c>
      <x:c r="H73" s="25" t="n">
        <x:v>0</x:v>
      </x:c>
      <x:c r="I73" s="25" t="n">
        <x:v>0</x:v>
      </x:c>
      <x:c r="J73" s="25" t="n">
        <x:v>437883</x:v>
      </x:c>
      <x:c r="K73" s="25" t="n">
        <x:v>0</x:v>
      </x:c>
      <x:c r="L73" s="25" t="n">
        <x:v>437883</x:v>
      </x:c>
      <x:c r="M73" s="25" t="n">
        <x:v>0</x:v>
      </x:c>
      <x:c r="N73" s="25" t="n">
        <x:v>0</x:v>
      </x:c>
      <x:c r="O73" s="25" t="n">
        <x:v>0</x:v>
      </x:c>
      <x:c r="P73" s="25" t="n">
        <x:v>0</x:v>
      </x:c>
      <x:c r="Q73" s="25" t="n">
        <x:v>0</x:v>
      </x:c>
      <x:c r="R73" s="25" t="n">
        <x:v>0</x:v>
      </x:c>
      <x:c r="S73" s="25" t="n">
        <x:f>SUM(H73:R73)</x:f>
        <x:v>875766</x:v>
      </x:c>
    </x:row>
    <x:row r="74">
      <x:c r="A74" s="22" t="str">
        <x:v>Titane</x:v>
      </x:c>
      <x:c r="B74" s="22" t="str">
        <x:v>titane_fissure</x:v>
      </x:c>
      <x:c r="C74" s="22" t="str">
        <x:v>raw</x:v>
      </x:c>
      <x:c r="D74" s="25" t="n">
        <x:v>13</x:v>
      </x:c>
      <x:c r="E74" s="25" t="n">
        <x:v>14</x:v>
      </x:c>
      <x:c r="F74" s="25" t="n">
        <x:v>2617665</x:v>
      </x:c>
      <x:c r="G74" s="63" t="n">
        <x:v>20.237885833333333</x:v>
      </x:c>
      <x:c r="H74" s="25" t="n">
        <x:v>0</x:v>
      </x:c>
      <x:c r="I74" s="25" t="n">
        <x:v>0</x:v>
      </x:c>
      <x:c r="J74" s="25" t="n">
        <x:v>523194</x:v>
      </x:c>
      <x:c r="K74" s="25" t="n">
        <x:v>0</x:v>
      </x:c>
      <x:c r="L74" s="25" t="n">
        <x:v>523194</x:v>
      </x:c>
      <x:c r="M74" s="25" t="n">
        <x:v>0</x:v>
      </x:c>
      <x:c r="N74" s="25" t="n">
        <x:v>0</x:v>
      </x:c>
      <x:c r="O74" s="25" t="n">
        <x:v>0</x:v>
      </x:c>
      <x:c r="P74" s="25" t="n">
        <x:v>0</x:v>
      </x:c>
      <x:c r="Q74" s="25" t="n">
        <x:v>0</x:v>
      </x:c>
      <x:c r="R74" s="25" t="n">
        <x:v>0</x:v>
      </x:c>
      <x:c r="S74" s="25" t="n">
        <x:f>SUM(H74:R74)</x:f>
        <x:v>1046388</x:v>
      </x:c>
    </x:row>
    <x:row r="75">
      <x:c r="A75" s="22" t="str">
        <x:v>Titane</x:v>
      </x:c>
      <x:c r="B75" s="22" t="str">
        <x:v>titane_fissure</x:v>
      </x:c>
      <x:c r="C75" s="22" t="str">
        <x:v>raw</x:v>
      </x:c>
      <x:c r="D75" s="25" t="n">
        <x:v>14</x:v>
      </x:c>
      <x:c r="E75" s="25" t="n">
        <x:v>15</x:v>
      </x:c>
      <x:c r="F75" s="25" t="n">
        <x:v>3083014</x:v>
      </x:c>
      <x:c r="G75" s="63" t="n">
        <x:v>22.650414444444444</x:v>
      </x:c>
      <x:c r="H75" s="25" t="n">
        <x:v>0</x:v>
      </x:c>
      <x:c r="I75" s="25" t="n">
        <x:v>0</x:v>
      </x:c>
      <x:c r="J75" s="25" t="n">
        <x:v>616311</x:v>
      </x:c>
      <x:c r="K75" s="25" t="n">
        <x:v>0</x:v>
      </x:c>
      <x:c r="L75" s="25" t="n">
        <x:v>616311</x:v>
      </x:c>
      <x:c r="M75" s="25" t="n">
        <x:v>0</x:v>
      </x:c>
      <x:c r="N75" s="25" t="n">
        <x:v>0</x:v>
      </x:c>
      <x:c r="O75" s="25" t="n">
        <x:v>0</x:v>
      </x:c>
      <x:c r="P75" s="25" t="n">
        <x:v>0</x:v>
      </x:c>
      <x:c r="Q75" s="25" t="n">
        <x:v>0</x:v>
      </x:c>
      <x:c r="R75" s="25" t="n">
        <x:v>0</x:v>
      </x:c>
      <x:c r="S75" s="25" t="n">
        <x:f>SUM(H75:R75)</x:f>
        <x:v>1232622</x:v>
      </x:c>
    </x:row>
    <x:row r="76">
      <x:c r="A76" s="22" t="str">
        <x:v>Titane</x:v>
      </x:c>
      <x:c r="B76" s="22" t="str">
        <x:v>titane_fissure</x:v>
      </x:c>
      <x:c r="C76" s="22" t="str">
        <x:v>raw</x:v>
      </x:c>
      <x:c r="D76" s="25" t="n">
        <x:v>15</x:v>
      </x:c>
      <x:c r="E76" s="25" t="n">
        <x:v>16</x:v>
      </x:c>
      <x:c r="F76" s="25" t="n">
        <x:v>3587527</x:v>
      </x:c>
      <x:c r="G76" s="63" t="n">
        <x:v>25.15298472222222</x:v>
      </x:c>
      <x:c r="H76" s="25" t="n">
        <x:v>0</x:v>
      </x:c>
      <x:c r="I76" s="25" t="n">
        <x:v>0</x:v>
      </x:c>
      <x:c r="J76" s="25" t="n">
        <x:v>717264</x:v>
      </x:c>
      <x:c r="K76" s="25" t="n">
        <x:v>0</x:v>
      </x:c>
      <x:c r="L76" s="25" t="n">
        <x:v>717264</x:v>
      </x:c>
      <x:c r="M76" s="25" t="n">
        <x:v>0</x:v>
      </x:c>
      <x:c r="N76" s="25" t="n">
        <x:v>0</x:v>
      </x:c>
      <x:c r="O76" s="25" t="n">
        <x:v>0</x:v>
      </x:c>
      <x:c r="P76" s="25" t="n">
        <x:v>0</x:v>
      </x:c>
      <x:c r="Q76" s="25" t="n">
        <x:v>0</x:v>
      </x:c>
      <x:c r="R76" s="25" t="n">
        <x:v>0</x:v>
      </x:c>
      <x:c r="S76" s="25" t="n">
        <x:f>SUM(H76:R76)</x:f>
        <x:v>1434528</x:v>
      </x:c>
    </x:row>
    <x:row r="77">
      <x:c r="A77" s="22" t="str">
        <x:v>Titane</x:v>
      </x:c>
      <x:c r="B77" s="22" t="str">
        <x:v>titane_fissure</x:v>
      </x:c>
      <x:c r="C77" s="22" t="str">
        <x:v>raw</x:v>
      </x:c>
      <x:c r="D77" s="25" t="n">
        <x:v>16</x:v>
      </x:c>
      <x:c r="E77" s="25" t="n">
        <x:v>17</x:v>
      </x:c>
      <x:c r="F77" s="25" t="n">
        <x:v>4131350</x:v>
      </x:c>
      <x:c r="G77" s="63" t="n">
        <x:v>27.7421625</x:v>
      </x:c>
      <x:c r="H77" s="25" t="n">
        <x:v>0</x:v>
      </x:c>
      <x:c r="I77" s="25" t="n">
        <x:v>0</x:v>
      </x:c>
      <x:c r="J77" s="25" t="n">
        <x:v>826083</x:v>
      </x:c>
      <x:c r="K77" s="25" t="n">
        <x:v>0</x:v>
      </x:c>
      <x:c r="L77" s="25" t="n">
        <x:v>826083</x:v>
      </x:c>
      <x:c r="M77" s="25" t="n">
        <x:v>0</x:v>
      </x:c>
      <x:c r="N77" s="25" t="n">
        <x:v>0</x:v>
      </x:c>
      <x:c r="O77" s="25" t="n">
        <x:v>0</x:v>
      </x:c>
      <x:c r="P77" s="25" t="n">
        <x:v>0</x:v>
      </x:c>
      <x:c r="Q77" s="25" t="n">
        <x:v>0</x:v>
      </x:c>
      <x:c r="R77" s="25" t="n">
        <x:v>0</x:v>
      </x:c>
      <x:c r="S77" s="25" t="n">
        <x:f>SUM(H77:R77)</x:f>
        <x:v>1652166</x:v>
      </x:c>
    </x:row>
    <x:row r="78">
      <x:c r="A78" s="22" t="str">
        <x:v>Titane</x:v>
      </x:c>
      <x:c r="B78" s="22" t="str">
        <x:v>titane_fissure</x:v>
      </x:c>
      <x:c r="C78" s="22" t="str">
        <x:v>raw</x:v>
      </x:c>
      <x:c r="D78" s="25" t="n">
        <x:v>17</x:v>
      </x:c>
      <x:c r="E78" s="25" t="n">
        <x:v>18</x:v>
      </x:c>
      <x:c r="F78" s="25" t="n">
        <x:v>4714620</x:v>
      </x:c>
      <x:c r="G78" s="63" t="n">
        <x:v>30.414869166666666</x:v>
      </x:c>
      <x:c r="H78" s="25" t="n">
        <x:v>0</x:v>
      </x:c>
      <x:c r="I78" s="25" t="n">
        <x:v>0</x:v>
      </x:c>
      <x:c r="J78" s="25" t="n">
        <x:v>942795</x:v>
      </x:c>
      <x:c r="K78" s="25" t="n">
        <x:v>0</x:v>
      </x:c>
      <x:c r="L78" s="25" t="n">
        <x:v>942795</x:v>
      </x:c>
      <x:c r="M78" s="25" t="n">
        <x:v>0</x:v>
      </x:c>
      <x:c r="N78" s="25" t="n">
        <x:v>0</x:v>
      </x:c>
      <x:c r="O78" s="25" t="n">
        <x:v>0</x:v>
      </x:c>
      <x:c r="P78" s="25" t="n">
        <x:v>0</x:v>
      </x:c>
      <x:c r="Q78" s="25" t="n">
        <x:v>0</x:v>
      </x:c>
      <x:c r="R78" s="25" t="n">
        <x:v>0</x:v>
      </x:c>
      <x:c r="S78" s="25" t="n">
        <x:f>SUM(H78:R78)</x:f>
        <x:v>1885590</x:v>
      </x:c>
    </x:row>
    <x:row r="79">
      <x:c r="A79" s="22" t="str">
        <x:v>Titane</x:v>
      </x:c>
      <x:c r="B79" s="22" t="str">
        <x:v>titane_fissure</x:v>
      </x:c>
      <x:c r="C79" s="22" t="str">
        <x:v>raw</x:v>
      </x:c>
      <x:c r="D79" s="25" t="n">
        <x:v>18</x:v>
      </x:c>
      <x:c r="E79" s="25" t="n">
        <x:v>19</x:v>
      </x:c>
      <x:c r="F79" s="25" t="n">
        <x:v>5337463</x:v>
      </x:c>
      <x:c r="G79" s="63" t="n">
        <x:v>33.168324166666665</x:v>
      </x:c>
      <x:c r="H79" s="25" t="n">
        <x:v>0</x:v>
      </x:c>
      <x:c r="I79" s="25" t="n">
        <x:v>0</x:v>
      </x:c>
      <x:c r="J79" s="25" t="n">
        <x:v>1067426</x:v>
      </x:c>
      <x:c r="K79" s="25" t="n">
        <x:v>0</x:v>
      </x:c>
      <x:c r="L79" s="25" t="n">
        <x:v>1067426</x:v>
      </x:c>
      <x:c r="M79" s="25" t="n">
        <x:v>0</x:v>
      </x:c>
      <x:c r="N79" s="25" t="n">
        <x:v>0</x:v>
      </x:c>
      <x:c r="O79" s="25" t="n">
        <x:v>0</x:v>
      </x:c>
      <x:c r="P79" s="25" t="n">
        <x:v>0</x:v>
      </x:c>
      <x:c r="Q79" s="25" t="n">
        <x:v>0</x:v>
      </x:c>
      <x:c r="R79" s="25" t="n">
        <x:v>0</x:v>
      </x:c>
      <x:c r="S79" s="25" t="n">
        <x:f>SUM(H79:R79)</x:f>
        <x:v>2134852</x:v>
      </x:c>
    </x:row>
    <x:row r="80">
      <x:c r="A80" s="22" t="str">
        <x:v>Titane</x:v>
      </x:c>
      <x:c r="B80" s="22" t="str">
        <x:v>titane_fissure</x:v>
      </x:c>
      <x:c r="C80" s="22" t="str">
        <x:v>raw</x:v>
      </x:c>
      <x:c r="D80" s="25" t="n">
        <x:v>19</x:v>
      </x:c>
      <x:c r="E80" s="25" t="n">
        <x:v>20</x:v>
      </x:c>
      <x:c r="F80" s="25" t="n">
        <x:v>6000000</x:v>
      </x:c>
      <x:c r="G80" s="63" t="n">
        <x:v>36</x:v>
      </x:c>
      <x:c r="H80" s="25" t="n">
        <x:v>0</x:v>
      </x:c>
      <x:c r="I80" s="25" t="n">
        <x:v>0</x:v>
      </x:c>
      <x:c r="J80" s="25" t="n">
        <x:v>1200000</x:v>
      </x:c>
      <x:c r="K80" s="25" t="n">
        <x:v>0</x:v>
      </x:c>
      <x:c r="L80" s="25" t="n">
        <x:v>1200000</x:v>
      </x:c>
      <x:c r="M80" s="25" t="n">
        <x:v>0</x:v>
      </x:c>
      <x:c r="N80" s="25" t="n">
        <x:v>0</x:v>
      </x:c>
      <x:c r="O80" s="25" t="n">
        <x:v>0</x:v>
      </x:c>
      <x:c r="P80" s="25" t="n">
        <x:v>0</x:v>
      </x:c>
      <x:c r="Q80" s="25" t="n">
        <x:v>0</x:v>
      </x:c>
      <x:c r="R80" s="25" t="n">
        <x:v>0</x:v>
      </x:c>
      <x:c r="S80" s="25" t="n">
        <x:f>SUM(H80:R80)</x:f>
        <x:v>2400000</x:v>
      </x:c>
    </x:row>
    <x:row r="81">
      <x:c r="A81" s="22" t="str">
        <x:v>Silice</x:v>
      </x:c>
      <x:c r="B81" s="22" t="str">
        <x:v>silice_conductrice</x:v>
      </x:c>
      <x:c r="C81" s="22" t="str">
        <x:v>raw</x:v>
      </x:c>
      <x:c r="D81" s="25" t="n">
        <x:v>1</x:v>
      </x:c>
      <x:c r="E81" s="25" t="n">
        <x:v>2</x:v>
      </x:c>
      <x:c r="F81" s="25" t="n">
        <x:v>8000</x:v>
      </x:c>
      <x:c r="G81" s="63" t="n">
        <x:v>1</x:v>
      </x:c>
      <x:c r="H81" s="25" t="n">
        <x:v>0</x:v>
      </x:c>
      <x:c r="I81" s="25" t="n">
        <x:v>0</x:v>
      </x:c>
      <x:c r="J81" s="25" t="n">
        <x:v>0</x:v>
      </x:c>
      <x:c r="K81" s="25" t="n">
        <x:v>1000</x:v>
      </x:c>
      <x:c r="L81" s="25" t="n">
        <x:v>1000</x:v>
      </x:c>
      <x:c r="M81" s="25" t="n">
        <x:v>0</x:v>
      </x:c>
      <x:c r="N81" s="25" t="n">
        <x:v>0</x:v>
      </x:c>
      <x:c r="O81" s="25" t="n">
        <x:v>0</x:v>
      </x:c>
      <x:c r="P81" s="25" t="n">
        <x:v>0</x:v>
      </x:c>
      <x:c r="Q81" s="25" t="n">
        <x:v>0</x:v>
      </x:c>
      <x:c r="R81" s="25" t="n">
        <x:v>0</x:v>
      </x:c>
      <x:c r="S81" s="25" t="n">
        <x:f>SUM(H81:R81)</x:f>
        <x:v>2000</x:v>
      </x:c>
    </x:row>
    <x:row r="82">
      <x:c r="A82" s="22" t="str">
        <x:v>Silice</x:v>
      </x:c>
      <x:c r="B82" s="22" t="str">
        <x:v>silice_conductrice</x:v>
      </x:c>
      <x:c r="C82" s="22" t="str">
        <x:v>raw</x:v>
      </x:c>
      <x:c r="D82" s="25" t="n">
        <x:v>2</x:v>
      </x:c>
      <x:c r="E82" s="25" t="n">
        <x:v>3</x:v>
      </x:c>
      <x:c r="F82" s="25" t="n">
        <x:v>24005</x:v>
      </x:c>
      <x:c r="G82" s="63" t="n">
        <x:v>1.4912311111111112</x:v>
      </x:c>
      <x:c r="H82" s="25" t="n">
        <x:v>0</x:v>
      </x:c>
      <x:c r="I82" s="25" t="n">
        <x:v>0</x:v>
      </x:c>
      <x:c r="J82" s="25" t="n">
        <x:v>0</x:v>
      </x:c>
      <x:c r="K82" s="25" t="n">
        <x:v>4203</x:v>
      </x:c>
      <x:c r="L82" s="25" t="n">
        <x:v>4203</x:v>
      </x:c>
      <x:c r="M82" s="25" t="n">
        <x:v>0</x:v>
      </x:c>
      <x:c r="N82" s="25" t="n">
        <x:v>0</x:v>
      </x:c>
      <x:c r="O82" s="25" t="n">
        <x:v>0</x:v>
      </x:c>
      <x:c r="P82" s="25" t="n">
        <x:v>0</x:v>
      </x:c>
      <x:c r="Q82" s="25" t="n">
        <x:v>0</x:v>
      </x:c>
      <x:c r="R82" s="25" t="n">
        <x:v>0</x:v>
      </x:c>
      <x:c r="S82" s="25" t="n">
        <x:f>SUM(H82:R82)</x:f>
        <x:v>8406</x:v>
      </x:c>
    </x:row>
    <x:row r="83">
      <x:c r="A83" s="22" t="str">
        <x:v>Silice</x:v>
      </x:c>
      <x:c r="B83" s="22" t="str">
        <x:v>silice_conductrice</x:v>
      </x:c>
      <x:c r="C83" s="22" t="str">
        <x:v>raw</x:v>
      </x:c>
      <x:c r="D83" s="25" t="n">
        <x:v>3</x:v>
      </x:c>
      <x:c r="E83" s="25" t="n">
        <x:v>4</x:v>
      </x:c>
      <x:c r="F83" s="25" t="n">
        <x:v>74279</x:v>
      </x:c>
      <x:c r="G83" s="63" t="n">
        <x:v>2.366488888888889</x:v>
      </x:c>
      <x:c r="H83" s="25" t="n">
        <x:v>0</x:v>
      </x:c>
      <x:c r="I83" s="25" t="n">
        <x:v>0</x:v>
      </x:c>
      <x:c r="J83" s="25" t="n">
        <x:v>0</x:v>
      </x:c>
      <x:c r="K83" s="25" t="n">
        <x:v>14262</x:v>
      </x:c>
      <x:c r="L83" s="25" t="n">
        <x:v>14262</x:v>
      </x:c>
      <x:c r="M83" s="25" t="n">
        <x:v>0</x:v>
      </x:c>
      <x:c r="N83" s="25" t="n">
        <x:v>0</x:v>
      </x:c>
      <x:c r="O83" s="25" t="n">
        <x:v>0</x:v>
      </x:c>
      <x:c r="P83" s="25" t="n">
        <x:v>0</x:v>
      </x:c>
      <x:c r="Q83" s="25" t="n">
        <x:v>0</x:v>
      </x:c>
      <x:c r="R83" s="25" t="n">
        <x:v>0</x:v>
      </x:c>
      <x:c r="S83" s="25" t="n">
        <x:f>SUM(H83:R83)</x:f>
        <x:v>28524</x:v>
      </x:c>
    </x:row>
    <x:row r="84">
      <x:c r="A84" s="22" t="str">
        <x:v>Silice</x:v>
      </x:c>
      <x:c r="B84" s="22" t="str">
        <x:v>silice_conductrice</x:v>
      </x:c>
      <x:c r="C84" s="22" t="str">
        <x:v>raw</x:v>
      </x:c>
      <x:c r="D84" s="25" t="n">
        <x:v>4</x:v>
      </x:c>
      <x:c r="E84" s="25" t="n">
        <x:v>5</x:v>
      </x:c>
      <x:c r="F84" s="25" t="n">
        <x:v>160181</x:v>
      </x:c>
      <x:c r="G84" s="63" t="n">
        <x:v>3.4860897222222222</x:v>
      </x:c>
      <x:c r="H84" s="25" t="n">
        <x:v>0</x:v>
      </x:c>
      <x:c r="I84" s="25" t="n">
        <x:v>0</x:v>
      </x:c>
      <x:c r="J84" s="25" t="n">
        <x:v>0</x:v>
      </x:c>
      <x:c r="K84" s="25" t="n">
        <x:v>31452</x:v>
      </x:c>
      <x:c r="L84" s="25" t="n">
        <x:v>31452</x:v>
      </x:c>
      <x:c r="M84" s="25" t="n">
        <x:v>0</x:v>
      </x:c>
      <x:c r="N84" s="25" t="n">
        <x:v>0</x:v>
      </x:c>
      <x:c r="O84" s="25" t="n">
        <x:v>0</x:v>
      </x:c>
      <x:c r="P84" s="25" t="n">
        <x:v>0</x:v>
      </x:c>
      <x:c r="Q84" s="25" t="n">
        <x:v>0</x:v>
      </x:c>
      <x:c r="R84" s="25" t="n">
        <x:v>0</x:v>
      </x:c>
      <x:c r="S84" s="25" t="n">
        <x:f>SUM(H84:R84)</x:f>
        <x:v>62904</x:v>
      </x:c>
    </x:row>
    <x:row r="85">
      <x:c r="A85" s="22" t="str">
        <x:v>Silice</x:v>
      </x:c>
      <x:c r="B85" s="22" t="str">
        <x:v>silice_conductrice</x:v>
      </x:c>
      <x:c r="C85" s="22" t="str">
        <x:v>raw</x:v>
      </x:c>
      <x:c r="D85" s="25" t="n">
        <x:v>5</x:v>
      </x:c>
      <x:c r="E85" s="25" t="n">
        <x:v>6</x:v>
      </x:c>
      <x:c r="F85" s="25" t="n">
        <x:v>282464</x:v>
      </x:c>
      <x:c r="G85" s="63" t="n">
        <x:v>4.801249444444444</x:v>
      </x:c>
      <x:c r="H85" s="25" t="n">
        <x:v>0</x:v>
      </x:c>
      <x:c r="I85" s="25" t="n">
        <x:v>0</x:v>
      </x:c>
      <x:c r="J85" s="25" t="n">
        <x:v>0</x:v>
      </x:c>
      <x:c r="K85" s="25" t="n">
        <x:v>55920</x:v>
      </x:c>
      <x:c r="L85" s="25" t="n">
        <x:v>55920</x:v>
      </x:c>
      <x:c r="M85" s="25" t="n">
        <x:v>0</x:v>
      </x:c>
      <x:c r="N85" s="25" t="n">
        <x:v>0</x:v>
      </x:c>
      <x:c r="O85" s="25" t="n">
        <x:v>0</x:v>
      </x:c>
      <x:c r="P85" s="25" t="n">
        <x:v>0</x:v>
      </x:c>
      <x:c r="Q85" s="25" t="n">
        <x:v>0</x:v>
      </x:c>
      <x:c r="R85" s="25" t="n">
        <x:v>0</x:v>
      </x:c>
      <x:c r="S85" s="25" t="n">
        <x:f>SUM(H85:R85)</x:f>
        <x:v>111840</x:v>
      </x:c>
    </x:row>
    <x:row r="86">
      <x:c r="A86" s="22" t="str">
        <x:v>Silice</x:v>
      </x:c>
      <x:c r="B86" s="22" t="str">
        <x:v>silice_conductrice</x:v>
      </x:c>
      <x:c r="C86" s="22" t="str">
        <x:v>raw</x:v>
      </x:c>
      <x:c r="D86" s="25" t="n">
        <x:v>6</x:v>
      </x:c>
      <x:c r="E86" s="25" t="n">
        <x:v>7</x:v>
      </x:c>
      <x:c r="F86" s="25" t="n">
        <x:v>441662</x:v>
      </x:c>
      <x:c r="G86" s="63" t="n">
        <x:v>6.284033333333333</x:v>
      </x:c>
      <x:c r="H86" s="25" t="n">
        <x:v>0</x:v>
      </x:c>
      <x:c r="I86" s="25" t="n">
        <x:v>0</x:v>
      </x:c>
      <x:c r="J86" s="25" t="n">
        <x:v>0</x:v>
      </x:c>
      <x:c r="K86" s="25" t="n">
        <x:v>87776</x:v>
      </x:c>
      <x:c r="L86" s="25" t="n">
        <x:v>87776</x:v>
      </x:c>
      <x:c r="M86" s="25" t="n">
        <x:v>0</x:v>
      </x:c>
      <x:c r="N86" s="25" t="n">
        <x:v>0</x:v>
      </x:c>
      <x:c r="O86" s="25" t="n">
        <x:v>0</x:v>
      </x:c>
      <x:c r="P86" s="25" t="n">
        <x:v>0</x:v>
      </x:c>
      <x:c r="Q86" s="25" t="n">
        <x:v>0</x:v>
      </x:c>
      <x:c r="R86" s="25" t="n">
        <x:v>0</x:v>
      </x:c>
      <x:c r="S86" s="25" t="n">
        <x:f>SUM(H86:R86)</x:f>
        <x:v>175552</x:v>
      </x:c>
    </x:row>
    <x:row r="87">
      <x:c r="A87" s="22" t="str">
        <x:v>Silice</x:v>
      </x:c>
      <x:c r="B87" s="22" t="str">
        <x:v>silice_conductrice</x:v>
      </x:c>
      <x:c r="C87" s="22" t="str">
        <x:v>raw</x:v>
      </x:c>
      <x:c r="D87" s="25" t="n">
        <x:v>7</x:v>
      </x:c>
      <x:c r="E87" s="25" t="n">
        <x:v>8</x:v>
      </x:c>
      <x:c r="F87" s="25" t="n">
        <x:v>638193</x:v>
      </x:c>
      <x:c r="G87" s="63" t="n">
        <x:v>7.915714722222222</x:v>
      </x:c>
      <x:c r="H87" s="25" t="n">
        <x:v>0</x:v>
      </x:c>
      <x:c r="I87" s="25" t="n">
        <x:v>0</x:v>
      </x:c>
      <x:c r="J87" s="25" t="n">
        <x:v>0</x:v>
      </x:c>
      <x:c r="K87" s="25" t="n">
        <x:v>127102</x:v>
      </x:c>
      <x:c r="L87" s="25" t="n">
        <x:v>127102</x:v>
      </x:c>
      <x:c r="M87" s="25" t="n">
        <x:v>0</x:v>
      </x:c>
      <x:c r="N87" s="25" t="n">
        <x:v>0</x:v>
      </x:c>
      <x:c r="O87" s="25" t="n">
        <x:v>0</x:v>
      </x:c>
      <x:c r="P87" s="25" t="n">
        <x:v>0</x:v>
      </x:c>
      <x:c r="Q87" s="25" t="n">
        <x:v>0</x:v>
      </x:c>
      <x:c r="R87" s="25" t="n">
        <x:v>0</x:v>
      </x:c>
      <x:c r="S87" s="25" t="n">
        <x:f>SUM(H87:R87)</x:f>
        <x:v>254204</x:v>
      </x:c>
    </x:row>
    <x:row r="88">
      <x:c r="A88" s="22" t="str">
        <x:v>Silice</x:v>
      </x:c>
      <x:c r="B88" s="22" t="str">
        <x:v>silice_conductrice</x:v>
      </x:c>
      <x:c r="C88" s="22" t="str">
        <x:v>raw</x:v>
      </x:c>
      <x:c r="D88" s="25" t="n">
        <x:v>8</x:v>
      </x:c>
      <x:c r="E88" s="25" t="n">
        <x:v>9</x:v>
      </x:c>
      <x:c r="F88" s="25" t="n">
        <x:v>872399</x:v>
      </x:c>
      <x:c r="G88" s="63" t="n">
        <x:v>9.682614722222223</x:v>
      </x:c>
      <x:c r="H88" s="25" t="n">
        <x:v>0</x:v>
      </x:c>
      <x:c r="I88" s="25" t="n">
        <x:v>0</x:v>
      </x:c>
      <x:c r="J88" s="25" t="n">
        <x:v>0</x:v>
      </x:c>
      <x:c r="K88" s="25" t="n">
        <x:v>173966</x:v>
      </x:c>
      <x:c r="L88" s="25" t="n">
        <x:v>173966</x:v>
      </x:c>
      <x:c r="M88" s="25" t="n">
        <x:v>0</x:v>
      </x:c>
      <x:c r="N88" s="25" t="n">
        <x:v>0</x:v>
      </x:c>
      <x:c r="O88" s="25" t="n">
        <x:v>0</x:v>
      </x:c>
      <x:c r="P88" s="25" t="n">
        <x:v>0</x:v>
      </x:c>
      <x:c r="Q88" s="25" t="n">
        <x:v>0</x:v>
      </x:c>
      <x:c r="R88" s="25" t="n">
        <x:v>0</x:v>
      </x:c>
      <x:c r="S88" s="25" t="n">
        <x:f>SUM(H88:R88)</x:f>
        <x:v>347932</x:v>
      </x:c>
    </x:row>
    <x:row r="89">
      <x:c r="A89" s="22" t="str">
        <x:v>Silice</x:v>
      </x:c>
      <x:c r="B89" s="22" t="str">
        <x:v>silice_conductrice</x:v>
      </x:c>
      <x:c r="C89" s="22" t="str">
        <x:v>raw</x:v>
      </x:c>
      <x:c r="D89" s="25" t="n">
        <x:v>9</x:v>
      </x:c>
      <x:c r="E89" s="25" t="n">
        <x:v>10</x:v>
      </x:c>
      <x:c r="F89" s="25" t="n">
        <x:v>1144574</x:v>
      </x:c>
      <x:c r="G89" s="63" t="n">
        <x:v>11.57417888888889</x:v>
      </x:c>
      <x:c r="H89" s="25" t="n">
        <x:v>0</x:v>
      </x:c>
      <x:c r="I89" s="25" t="n">
        <x:v>0</x:v>
      </x:c>
      <x:c r="J89" s="25" t="n">
        <x:v>0</x:v>
      </x:c>
      <x:c r="K89" s="25" t="n">
        <x:v>228429</x:v>
      </x:c>
      <x:c r="L89" s="25" t="n">
        <x:v>228429</x:v>
      </x:c>
      <x:c r="M89" s="25" t="n">
        <x:v>0</x:v>
      </x:c>
      <x:c r="N89" s="25" t="n">
        <x:v>0</x:v>
      </x:c>
      <x:c r="O89" s="25" t="n">
        <x:v>0</x:v>
      </x:c>
      <x:c r="P89" s="25" t="n">
        <x:v>0</x:v>
      </x:c>
      <x:c r="Q89" s="25" t="n">
        <x:v>0</x:v>
      </x:c>
      <x:c r="R89" s="25" t="n">
        <x:v>0</x:v>
      </x:c>
      <x:c r="S89" s="25" t="n">
        <x:f>SUM(H89:R89)</x:f>
        <x:v>456858</x:v>
      </x:c>
    </x:row>
    <x:row r="90">
      <x:c r="A90" s="22" t="str">
        <x:v>Silice</x:v>
      </x:c>
      <x:c r="B90" s="22" t="str">
        <x:v>silice_conductrice</x:v>
      </x:c>
      <x:c r="C90" s="22" t="str">
        <x:v>raw</x:v>
      </x:c>
      <x:c r="D90" s="25" t="n">
        <x:v>10</x:v>
      </x:c>
      <x:c r="E90" s="25" t="n">
        <x:v>11</x:v>
      </x:c>
      <x:c r="F90" s="25" t="n">
        <x:v>1454973</x:v>
      </x:c>
      <x:c r="G90" s="63" t="n">
        <x:v>13.581944722222222</x:v>
      </x:c>
      <x:c r="H90" s="25" t="n">
        <x:v>0</x:v>
      </x:c>
      <x:c r="I90" s="25" t="n">
        <x:v>0</x:v>
      </x:c>
      <x:c r="J90" s="25" t="n">
        <x:v>0</x:v>
      </x:c>
      <x:c r="K90" s="25" t="n">
        <x:v>290539</x:v>
      </x:c>
      <x:c r="L90" s="25" t="n">
        <x:v>290539</x:v>
      </x:c>
      <x:c r="M90" s="25" t="n">
        <x:v>0</x:v>
      </x:c>
      <x:c r="N90" s="25" t="n">
        <x:v>0</x:v>
      </x:c>
      <x:c r="O90" s="25" t="n">
        <x:v>0</x:v>
      </x:c>
      <x:c r="P90" s="25" t="n">
        <x:v>0</x:v>
      </x:c>
      <x:c r="Q90" s="25" t="n">
        <x:v>0</x:v>
      </x:c>
      <x:c r="R90" s="25" t="n">
        <x:v>0</x:v>
      </x:c>
      <x:c r="S90" s="25" t="n">
        <x:f>SUM(H90:R90)</x:f>
        <x:v>581078</x:v>
      </x:c>
    </x:row>
    <x:row r="91">
      <x:c r="A91" s="22" t="str">
        <x:v>Silice</x:v>
      </x:c>
      <x:c r="B91" s="22" t="str">
        <x:v>silice_conductrice</x:v>
      </x:c>
      <x:c r="C91" s="22" t="str">
        <x:v>raw</x:v>
      </x:c>
      <x:c r="D91" s="25" t="n">
        <x:v>11</x:v>
      </x:c>
      <x:c r="E91" s="25" t="n">
        <x:v>12</x:v>
      </x:c>
      <x:c r="F91" s="25" t="n">
        <x:v>1803822</x:v>
      </x:c>
      <x:c r="G91" s="63" t="n">
        <x:v>15.69893361111111</x:v>
      </x:c>
      <x:c r="H91" s="25" t="n">
        <x:v>0</x:v>
      </x:c>
      <x:c r="I91" s="25" t="n">
        <x:v>0</x:v>
      </x:c>
      <x:c r="J91" s="25" t="n">
        <x:v>0</x:v>
      </x:c>
      <x:c r="K91" s="25" t="n">
        <x:v>360344</x:v>
      </x:c>
      <x:c r="L91" s="25" t="n">
        <x:v>360344</x:v>
      </x:c>
      <x:c r="M91" s="25" t="n">
        <x:v>0</x:v>
      </x:c>
      <x:c r="N91" s="25" t="n">
        <x:v>0</x:v>
      </x:c>
      <x:c r="O91" s="25" t="n">
        <x:v>0</x:v>
      </x:c>
      <x:c r="P91" s="25" t="n">
        <x:v>0</x:v>
      </x:c>
      <x:c r="Q91" s="25" t="n">
        <x:v>0</x:v>
      </x:c>
      <x:c r="R91" s="25" t="n">
        <x:v>0</x:v>
      </x:c>
      <x:c r="S91" s="25" t="n">
        <x:f>SUM(H91:R91)</x:f>
        <x:v>720688</x:v>
      </x:c>
    </x:row>
    <x:row r="92">
      <x:c r="A92" s="22" t="str">
        <x:v>Silice</x:v>
      </x:c>
      <x:c r="B92" s="22" t="str">
        <x:v>silice_conductrice</x:v>
      </x:c>
      <x:c r="C92" s="22" t="str">
        <x:v>raw</x:v>
      </x:c>
      <x:c r="D92" s="25" t="n">
        <x:v>12</x:v>
      </x:c>
      <x:c r="E92" s="25" t="n">
        <x:v>13</x:v>
      </x:c>
      <x:c r="F92" s="25" t="n">
        <x:v>2191324</x:v>
      </x:c>
      <x:c r="G92" s="63" t="n">
        <x:v>17.9192625</x:v>
      </x:c>
      <x:c r="H92" s="25" t="n">
        <x:v>0</x:v>
      </x:c>
      <x:c r="I92" s="25" t="n">
        <x:v>0</x:v>
      </x:c>
      <x:c r="J92" s="25" t="n">
        <x:v>0</x:v>
      </x:c>
      <x:c r="K92" s="25" t="n">
        <x:v>437883</x:v>
      </x:c>
      <x:c r="L92" s="25" t="n">
        <x:v>437883</x:v>
      </x:c>
      <x:c r="M92" s="25" t="n">
        <x:v>0</x:v>
      </x:c>
      <x:c r="N92" s="25" t="n">
        <x:v>0</x:v>
      </x:c>
      <x:c r="O92" s="25" t="n">
        <x:v>0</x:v>
      </x:c>
      <x:c r="P92" s="25" t="n">
        <x:v>0</x:v>
      </x:c>
      <x:c r="Q92" s="25" t="n">
        <x:v>0</x:v>
      </x:c>
      <x:c r="R92" s="25" t="n">
        <x:v>0</x:v>
      </x:c>
      <x:c r="S92" s="25" t="n">
        <x:f>SUM(H92:R92)</x:f>
        <x:v>875766</x:v>
      </x:c>
    </x:row>
    <x:row r="93">
      <x:c r="A93" s="22" t="str">
        <x:v>Silice</x:v>
      </x:c>
      <x:c r="B93" s="22" t="str">
        <x:v>silice_conductrice</x:v>
      </x:c>
      <x:c r="C93" s="22" t="str">
        <x:v>raw</x:v>
      </x:c>
      <x:c r="D93" s="25" t="n">
        <x:v>13</x:v>
      </x:c>
      <x:c r="E93" s="25" t="n">
        <x:v>14</x:v>
      </x:c>
      <x:c r="F93" s="25" t="n">
        <x:v>2617665</x:v>
      </x:c>
      <x:c r="G93" s="63" t="n">
        <x:v>20.237885833333333</x:v>
      </x:c>
      <x:c r="H93" s="25" t="n">
        <x:v>0</x:v>
      </x:c>
      <x:c r="I93" s="25" t="n">
        <x:v>0</x:v>
      </x:c>
      <x:c r="J93" s="25" t="n">
        <x:v>0</x:v>
      </x:c>
      <x:c r="K93" s="25" t="n">
        <x:v>523194</x:v>
      </x:c>
      <x:c r="L93" s="25" t="n">
        <x:v>523194</x:v>
      </x:c>
      <x:c r="M93" s="25" t="n">
        <x:v>0</x:v>
      </x:c>
      <x:c r="N93" s="25" t="n">
        <x:v>0</x:v>
      </x:c>
      <x:c r="O93" s="25" t="n">
        <x:v>0</x:v>
      </x:c>
      <x:c r="P93" s="25" t="n">
        <x:v>0</x:v>
      </x:c>
      <x:c r="Q93" s="25" t="n">
        <x:v>0</x:v>
      </x:c>
      <x:c r="R93" s="25" t="n">
        <x:v>0</x:v>
      </x:c>
      <x:c r="S93" s="25" t="n">
        <x:f>SUM(H93:R93)</x:f>
        <x:v>1046388</x:v>
      </x:c>
    </x:row>
    <x:row r="94">
      <x:c r="A94" s="22" t="str">
        <x:v>Silice</x:v>
      </x:c>
      <x:c r="B94" s="22" t="str">
        <x:v>silice_conductrice</x:v>
      </x:c>
      <x:c r="C94" s="22" t="str">
        <x:v>raw</x:v>
      </x:c>
      <x:c r="D94" s="25" t="n">
        <x:v>14</x:v>
      </x:c>
      <x:c r="E94" s="25" t="n">
        <x:v>15</x:v>
      </x:c>
      <x:c r="F94" s="25" t="n">
        <x:v>3083014</x:v>
      </x:c>
      <x:c r="G94" s="63" t="n">
        <x:v>22.650414444444444</x:v>
      </x:c>
      <x:c r="H94" s="25" t="n">
        <x:v>0</x:v>
      </x:c>
      <x:c r="I94" s="25" t="n">
        <x:v>0</x:v>
      </x:c>
      <x:c r="J94" s="25" t="n">
        <x:v>0</x:v>
      </x:c>
      <x:c r="K94" s="25" t="n">
        <x:v>616311</x:v>
      </x:c>
      <x:c r="L94" s="25" t="n">
        <x:v>616311</x:v>
      </x:c>
      <x:c r="M94" s="25" t="n">
        <x:v>0</x:v>
      </x:c>
      <x:c r="N94" s="25" t="n">
        <x:v>0</x:v>
      </x:c>
      <x:c r="O94" s="25" t="n">
        <x:v>0</x:v>
      </x:c>
      <x:c r="P94" s="25" t="n">
        <x:v>0</x:v>
      </x:c>
      <x:c r="Q94" s="25" t="n">
        <x:v>0</x:v>
      </x:c>
      <x:c r="R94" s="25" t="n">
        <x:v>0</x:v>
      </x:c>
      <x:c r="S94" s="25" t="n">
        <x:f>SUM(H94:R94)</x:f>
        <x:v>1232622</x:v>
      </x:c>
    </x:row>
    <x:row r="95">
      <x:c r="A95" s="22" t="str">
        <x:v>Silice</x:v>
      </x:c>
      <x:c r="B95" s="22" t="str">
        <x:v>silice_conductrice</x:v>
      </x:c>
      <x:c r="C95" s="22" t="str">
        <x:v>raw</x:v>
      </x:c>
      <x:c r="D95" s="25" t="n">
        <x:v>15</x:v>
      </x:c>
      <x:c r="E95" s="25" t="n">
        <x:v>16</x:v>
      </x:c>
      <x:c r="F95" s="25" t="n">
        <x:v>3587527</x:v>
      </x:c>
      <x:c r="G95" s="63" t="n">
        <x:v>25.15298472222222</x:v>
      </x:c>
      <x:c r="H95" s="25" t="n">
        <x:v>0</x:v>
      </x:c>
      <x:c r="I95" s="25" t="n">
        <x:v>0</x:v>
      </x:c>
      <x:c r="J95" s="25" t="n">
        <x:v>0</x:v>
      </x:c>
      <x:c r="K95" s="25" t="n">
        <x:v>717264</x:v>
      </x:c>
      <x:c r="L95" s="25" t="n">
        <x:v>717264</x:v>
      </x:c>
      <x:c r="M95" s="25" t="n">
        <x:v>0</x:v>
      </x:c>
      <x:c r="N95" s="25" t="n">
        <x:v>0</x:v>
      </x:c>
      <x:c r="O95" s="25" t="n">
        <x:v>0</x:v>
      </x:c>
      <x:c r="P95" s="25" t="n">
        <x:v>0</x:v>
      </x:c>
      <x:c r="Q95" s="25" t="n">
        <x:v>0</x:v>
      </x:c>
      <x:c r="R95" s="25" t="n">
        <x:v>0</x:v>
      </x:c>
      <x:c r="S95" s="25" t="n">
        <x:f>SUM(H95:R95)</x:f>
        <x:v>1434528</x:v>
      </x:c>
    </x:row>
    <x:row r="96">
      <x:c r="A96" s="22" t="str">
        <x:v>Silice</x:v>
      </x:c>
      <x:c r="B96" s="22" t="str">
        <x:v>silice_conductrice</x:v>
      </x:c>
      <x:c r="C96" s="22" t="str">
        <x:v>raw</x:v>
      </x:c>
      <x:c r="D96" s="25" t="n">
        <x:v>16</x:v>
      </x:c>
      <x:c r="E96" s="25" t="n">
        <x:v>17</x:v>
      </x:c>
      <x:c r="F96" s="25" t="n">
        <x:v>4131350</x:v>
      </x:c>
      <x:c r="G96" s="63" t="n">
        <x:v>27.7421625</x:v>
      </x:c>
      <x:c r="H96" s="25" t="n">
        <x:v>0</x:v>
      </x:c>
      <x:c r="I96" s="25" t="n">
        <x:v>0</x:v>
      </x:c>
      <x:c r="J96" s="25" t="n">
        <x:v>0</x:v>
      </x:c>
      <x:c r="K96" s="25" t="n">
        <x:v>826083</x:v>
      </x:c>
      <x:c r="L96" s="25" t="n">
        <x:v>826083</x:v>
      </x:c>
      <x:c r="M96" s="25" t="n">
        <x:v>0</x:v>
      </x:c>
      <x:c r="N96" s="25" t="n">
        <x:v>0</x:v>
      </x:c>
      <x:c r="O96" s="25" t="n">
        <x:v>0</x:v>
      </x:c>
      <x:c r="P96" s="25" t="n">
        <x:v>0</x:v>
      </x:c>
      <x:c r="Q96" s="25" t="n">
        <x:v>0</x:v>
      </x:c>
      <x:c r="R96" s="25" t="n">
        <x:v>0</x:v>
      </x:c>
      <x:c r="S96" s="25" t="n">
        <x:f>SUM(H96:R96)</x:f>
        <x:v>1652166</x:v>
      </x:c>
    </x:row>
    <x:row r="97">
      <x:c r="A97" s="22" t="str">
        <x:v>Silice</x:v>
      </x:c>
      <x:c r="B97" s="22" t="str">
        <x:v>silice_conductrice</x:v>
      </x:c>
      <x:c r="C97" s="22" t="str">
        <x:v>raw</x:v>
      </x:c>
      <x:c r="D97" s="25" t="n">
        <x:v>17</x:v>
      </x:c>
      <x:c r="E97" s="25" t="n">
        <x:v>18</x:v>
      </x:c>
      <x:c r="F97" s="25" t="n">
        <x:v>4714620</x:v>
      </x:c>
      <x:c r="G97" s="63" t="n">
        <x:v>30.414869166666666</x:v>
      </x:c>
      <x:c r="H97" s="25" t="n">
        <x:v>0</x:v>
      </x:c>
      <x:c r="I97" s="25" t="n">
        <x:v>0</x:v>
      </x:c>
      <x:c r="J97" s="25" t="n">
        <x:v>0</x:v>
      </x:c>
      <x:c r="K97" s="25" t="n">
        <x:v>942795</x:v>
      </x:c>
      <x:c r="L97" s="25" t="n">
        <x:v>942795</x:v>
      </x:c>
      <x:c r="M97" s="25" t="n">
        <x:v>0</x:v>
      </x:c>
      <x:c r="N97" s="25" t="n">
        <x:v>0</x:v>
      </x:c>
      <x:c r="O97" s="25" t="n">
        <x:v>0</x:v>
      </x:c>
      <x:c r="P97" s="25" t="n">
        <x:v>0</x:v>
      </x:c>
      <x:c r="Q97" s="25" t="n">
        <x:v>0</x:v>
      </x:c>
      <x:c r="R97" s="25" t="n">
        <x:v>0</x:v>
      </x:c>
      <x:c r="S97" s="25" t="n">
        <x:f>SUM(H97:R97)</x:f>
        <x:v>1885590</x:v>
      </x:c>
    </x:row>
    <x:row r="98">
      <x:c r="A98" s="22" t="str">
        <x:v>Silice</x:v>
      </x:c>
      <x:c r="B98" s="22" t="str">
        <x:v>silice_conductrice</x:v>
      </x:c>
      <x:c r="C98" s="22" t="str">
        <x:v>raw</x:v>
      </x:c>
      <x:c r="D98" s="25" t="n">
        <x:v>18</x:v>
      </x:c>
      <x:c r="E98" s="25" t="n">
        <x:v>19</x:v>
      </x:c>
      <x:c r="F98" s="25" t="n">
        <x:v>5337463</x:v>
      </x:c>
      <x:c r="G98" s="63" t="n">
        <x:v>33.168324166666665</x:v>
      </x:c>
      <x:c r="H98" s="25" t="n">
        <x:v>0</x:v>
      </x:c>
      <x:c r="I98" s="25" t="n">
        <x:v>0</x:v>
      </x:c>
      <x:c r="J98" s="25" t="n">
        <x:v>0</x:v>
      </x:c>
      <x:c r="K98" s="25" t="n">
        <x:v>1067426</x:v>
      </x:c>
      <x:c r="L98" s="25" t="n">
        <x:v>1067426</x:v>
      </x:c>
      <x:c r="M98" s="25" t="n">
        <x:v>0</x:v>
      </x:c>
      <x:c r="N98" s="25" t="n">
        <x:v>0</x:v>
      </x:c>
      <x:c r="O98" s="25" t="n">
        <x:v>0</x:v>
      </x:c>
      <x:c r="P98" s="25" t="n">
        <x:v>0</x:v>
      </x:c>
      <x:c r="Q98" s="25" t="n">
        <x:v>0</x:v>
      </x:c>
      <x:c r="R98" s="25" t="n">
        <x:v>0</x:v>
      </x:c>
      <x:c r="S98" s="25" t="n">
        <x:f>SUM(H98:R98)</x:f>
        <x:v>2134852</x:v>
      </x:c>
    </x:row>
    <x:row r="99">
      <x:c r="A99" s="22" t="str">
        <x:v>Silice</x:v>
      </x:c>
      <x:c r="B99" s="22" t="str">
        <x:v>silice_conductrice</x:v>
      </x:c>
      <x:c r="C99" s="22" t="str">
        <x:v>raw</x:v>
      </x:c>
      <x:c r="D99" s="25" t="n">
        <x:v>19</x:v>
      </x:c>
      <x:c r="E99" s="25" t="n">
        <x:v>20</x:v>
      </x:c>
      <x:c r="F99" s="25" t="n">
        <x:v>6000000</x:v>
      </x:c>
      <x:c r="G99" s="63" t="n">
        <x:v>36</x:v>
      </x:c>
      <x:c r="H99" s="25" t="n">
        <x:v>0</x:v>
      </x:c>
      <x:c r="I99" s="25" t="n">
        <x:v>0</x:v>
      </x:c>
      <x:c r="J99" s="25" t="n">
        <x:v>0</x:v>
      </x:c>
      <x:c r="K99" s="25" t="n">
        <x:v>1200000</x:v>
      </x:c>
      <x:c r="L99" s="25" t="n">
        <x:v>1200000</x:v>
      </x:c>
      <x:c r="M99" s="25" t="n">
        <x:v>0</x:v>
      </x:c>
      <x:c r="N99" s="25" t="n">
        <x:v>0</x:v>
      </x:c>
      <x:c r="O99" s="25" t="n">
        <x:v>0</x:v>
      </x:c>
      <x:c r="P99" s="25" t="n">
        <x:v>0</x:v>
      </x:c>
      <x:c r="Q99" s="25" t="n">
        <x:v>0</x:v>
      </x:c>
      <x:c r="R99" s="25" t="n">
        <x:v>0</x:v>
      </x:c>
      <x:c r="S99" s="25" t="n">
        <x:f>SUM(H99:R99)</x:f>
        <x:v>2400000</x:v>
      </x:c>
    </x:row>
    <x:row r="100">
      <x:c r="A100" s="22" t="str">
        <x:v>Alliage</x:v>
      </x:c>
      <x:c r="B100" s="22" t="str">
        <x:v>alliage_cuivre_zinc</x:v>
      </x:c>
      <x:c r="C100" s="22" t="str">
        <x:v>refined</x:v>
      </x:c>
      <x:c r="D100" s="25" t="n">
        <x:v>0</x:v>
      </x:c>
      <x:c r="E100" s="25" t="n">
        <x:v>1</x:v>
      </x:c>
      <x:c r="F100" s="25" t="n">
        <x:v>25000</x:v>
      </x:c>
      <x:c r="G100" s="63" t="n">
        <x:v>2</x:v>
      </x:c>
      <x:c r="H100" s="25" t="n">
        <x:v>10000</x:v>
      </x:c>
      <x:c r="I100" s="25" t="n">
        <x:v>10000</x:v>
      </x:c>
      <x:c r="J100" s="25" t="n">
        <x:v>0</x:v>
      </x:c>
      <x:c r="K100" s="25" t="n">
        <x:v>0</x:v>
      </x:c>
      <x:c r="L100" s="25" t="n">
        <x:v>0</x:v>
      </x:c>
      <x:c r="M100" s="25" t="n">
        <x:v>0</x:v>
      </x:c>
      <x:c r="N100" s="25" t="n">
        <x:v>0</x:v>
      </x:c>
      <x:c r="O100" s="25" t="n">
        <x:v>0</x:v>
      </x:c>
      <x:c r="P100" s="25" t="n">
        <x:v>0</x:v>
      </x:c>
      <x:c r="Q100" s="25" t="n">
        <x:v>0</x:v>
      </x:c>
      <x:c r="R100" s="25" t="n">
        <x:v>0</x:v>
      </x:c>
      <x:c r="S100" s="25" t="n">
        <x:f>SUM(H100:R100)</x:f>
        <x:v>20000</x:v>
      </x:c>
    </x:row>
    <x:row r="101">
      <x:c r="A101" s="22" t="str">
        <x:v>Alliage</x:v>
      </x:c>
      <x:c r="B101" s="22" t="str">
        <x:v>alliage_cuivre_zinc</x:v>
      </x:c>
      <x:c r="C101" s="22" t="str">
        <x:v>refined</x:v>
      </x:c>
      <x:c r="D101" s="25" t="n">
        <x:v>1</x:v>
      </x:c>
      <x:c r="E101" s="25" t="n">
        <x:v>2</x:v>
      </x:c>
      <x:c r="F101" s="25" t="n">
        <x:v>25000</x:v>
      </x:c>
      <x:c r="G101" s="63" t="n">
        <x:v>2</x:v>
      </x:c>
      <x:c r="H101" s="25" t="n">
        <x:v>10000</x:v>
      </x:c>
      <x:c r="I101" s="25" t="n">
        <x:v>10000</x:v>
      </x:c>
      <x:c r="J101" s="25" t="n">
        <x:v>0</x:v>
      </x:c>
      <x:c r="K101" s="25" t="n">
        <x:v>0</x:v>
      </x:c>
      <x:c r="L101" s="25" t="n">
        <x:v>0</x:v>
      </x:c>
      <x:c r="M101" s="25" t="n">
        <x:v>0</x:v>
      </x:c>
      <x:c r="N101" s="25" t="n">
        <x:v>0</x:v>
      </x:c>
      <x:c r="O101" s="25" t="n">
        <x:v>0</x:v>
      </x:c>
      <x:c r="P101" s="25" t="n">
        <x:v>0</x:v>
      </x:c>
      <x:c r="Q101" s="25" t="n">
        <x:v>0</x:v>
      </x:c>
      <x:c r="R101" s="25" t="n">
        <x:v>0</x:v>
      </x:c>
      <x:c r="S101" s="25" t="n">
        <x:f>SUM(H101:R101)</x:f>
        <x:v>20000</x:v>
      </x:c>
    </x:row>
    <x:row r="102">
      <x:c r="A102" s="22" t="str">
        <x:v>Alliage</x:v>
      </x:c>
      <x:c r="B102" s="22" t="str">
        <x:v>alliage_cuivre_zinc</x:v>
      </x:c>
      <x:c r="C102" s="22" t="str">
        <x:v>refined</x:v>
      </x:c>
      <x:c r="D102" s="25" t="n">
        <x:v>2</x:v>
      </x:c>
      <x:c r="E102" s="25" t="n">
        <x:v>3</x:v>
      </x:c>
      <x:c r="F102" s="25" t="n">
        <x:v>74965</x:v>
      </x:c>
      <x:c r="G102" s="63" t="n">
        <x:v>3.0714355555555555</x:v>
      </x:c>
      <x:c r="H102" s="25" t="n">
        <x:v>13180</x:v>
      </x:c>
      <x:c r="I102" s="25" t="n">
        <x:v>13180</x:v>
      </x:c>
      <x:c r="J102" s="25" t="n">
        <x:v>0</x:v>
      </x:c>
      <x:c r="K102" s="25" t="n">
        <x:v>0</x:v>
      </x:c>
      <x:c r="L102" s="25" t="n">
        <x:v>0</x:v>
      </x:c>
      <x:c r="M102" s="25" t="n">
        <x:v>0</x:v>
      </x:c>
      <x:c r="N102" s="25" t="n">
        <x:v>0</x:v>
      </x:c>
      <x:c r="O102" s="25" t="n">
        <x:v>0</x:v>
      </x:c>
      <x:c r="P102" s="25" t="n">
        <x:v>0</x:v>
      </x:c>
      <x:c r="Q102" s="25" t="n">
        <x:v>0</x:v>
      </x:c>
      <x:c r="R102" s="25" t="n">
        <x:v>0</x:v>
      </x:c>
      <x:c r="S102" s="25" t="n">
        <x:f>SUM(H102:R102)</x:f>
        <x:v>26360</x:v>
      </x:c>
    </x:row>
    <x:row r="103">
      <x:c r="A103" s="22" t="str">
        <x:v>Alliage</x:v>
      </x:c>
      <x:c r="B103" s="22" t="str">
        <x:v>alliage_cuivre_zinc</x:v>
      </x:c>
      <x:c r="C103" s="22" t="str">
        <x:v>refined</x:v>
      </x:c>
      <x:c r="D103" s="25" t="n">
        <x:v>3</x:v>
      </x:c>
      <x:c r="E103" s="25" t="n">
        <x:v>4</x:v>
      </x:c>
      <x:c r="F103" s="25" t="n">
        <x:v>246760</x:v>
      </x:c>
      <x:c r="G103" s="63" t="n">
        <x:v>5.133000277777778</x:v>
      </x:c>
      <x:c r="H103" s="25" t="n">
        <x:v>24120</x:v>
      </x:c>
      <x:c r="I103" s="25" t="n">
        <x:v>24120</x:v>
      </x:c>
      <x:c r="J103" s="25" t="n">
        <x:v>0</x:v>
      </x:c>
      <x:c r="K103" s="25" t="n">
        <x:v>0</x:v>
      </x:c>
      <x:c r="L103" s="25" t="n">
        <x:v>0</x:v>
      </x:c>
      <x:c r="M103" s="25" t="n">
        <x:v>0</x:v>
      </x:c>
      <x:c r="N103" s="25" t="n">
        <x:v>0</x:v>
      </x:c>
      <x:c r="O103" s="25" t="n">
        <x:v>0</x:v>
      </x:c>
      <x:c r="P103" s="25" t="n">
        <x:v>0</x:v>
      </x:c>
      <x:c r="Q103" s="25" t="n">
        <x:v>0</x:v>
      </x:c>
      <x:c r="R103" s="25" t="n">
        <x:v>0</x:v>
      </x:c>
      <x:c r="S103" s="25" t="n">
        <x:f>SUM(H103:R103)</x:f>
        <x:v>48240</x:v>
      </x:c>
    </x:row>
    <x:row r="104">
      <x:c r="A104" s="22" t="str">
        <x:v>Alliage</x:v>
      </x:c>
      <x:c r="B104" s="22" t="str">
        <x:v>alliage_cuivre_zinc</x:v>
      </x:c>
      <x:c r="C104" s="22" t="str">
        <x:v>refined</x:v>
      </x:c>
      <x:c r="D104" s="25" t="n">
        <x:v>4</x:v>
      </x:c>
      <x:c r="E104" s="25" t="n">
        <x:v>5</x:v>
      </x:c>
      <x:c r="F104" s="25" t="n">
        <x:v>555250</x:v>
      </x:c>
      <x:c r="G104" s="63" t="n">
        <x:v>7.868805555555555</x:v>
      </x:c>
      <x:c r="H104" s="25" t="n">
        <x:v>43760</x:v>
      </x:c>
      <x:c r="I104" s="25" t="n">
        <x:v>43760</x:v>
      </x:c>
      <x:c r="J104" s="25" t="n">
        <x:v>0</x:v>
      </x:c>
      <x:c r="K104" s="25" t="n">
        <x:v>0</x:v>
      </x:c>
      <x:c r="L104" s="25" t="n">
        <x:v>0</x:v>
      </x:c>
      <x:c r="M104" s="25" t="n">
        <x:v>0</x:v>
      </x:c>
      <x:c r="N104" s="25" t="n">
        <x:v>0</x:v>
      </x:c>
      <x:c r="O104" s="25" t="n">
        <x:v>0</x:v>
      </x:c>
      <x:c r="P104" s="25" t="n">
        <x:v>0</x:v>
      </x:c>
      <x:c r="Q104" s="25" t="n">
        <x:v>0</x:v>
      </x:c>
      <x:c r="R104" s="25" t="n">
        <x:v>0</x:v>
      </x:c>
      <x:c r="S104" s="25" t="n">
        <x:f>SUM(H104:R104)</x:f>
        <x:v>87520</x:v>
      </x:c>
    </x:row>
    <x:row r="105">
      <x:c r="A105" s="22" t="str">
        <x:v>Alliage</x:v>
      </x:c>
      <x:c r="B105" s="22" t="str">
        <x:v>alliage_cuivre_zinc</x:v>
      </x:c>
      <x:c r="C105" s="22" t="str">
        <x:v>refined</x:v>
      </x:c>
      <x:c r="D105" s="25" t="n">
        <x:v>5</x:v>
      </x:c>
      <x:c r="E105" s="25" t="n">
        <x:v>6</x:v>
      </x:c>
      <x:c r="F105" s="25" t="n">
        <x:v>1009235</x:v>
      </x:c>
      <x:c r="G105" s="63" t="n">
        <x:v>11.161253055555555</x:v>
      </x:c>
      <x:c r="H105" s="25" t="n">
        <x:v>72660</x:v>
      </x:c>
      <x:c r="I105" s="25" t="n">
        <x:v>72660</x:v>
      </x:c>
      <x:c r="J105" s="25" t="n">
        <x:v>0</x:v>
      </x:c>
      <x:c r="K105" s="25" t="n">
        <x:v>0</x:v>
      </x:c>
      <x:c r="L105" s="25" t="n">
        <x:v>0</x:v>
      </x:c>
      <x:c r="M105" s="25" t="n">
        <x:v>0</x:v>
      </x:c>
      <x:c r="N105" s="25" t="n">
        <x:v>0</x:v>
      </x:c>
      <x:c r="O105" s="25" t="n">
        <x:v>0</x:v>
      </x:c>
      <x:c r="P105" s="25" t="n">
        <x:v>0</x:v>
      </x:c>
      <x:c r="Q105" s="25" t="n">
        <x:v>0</x:v>
      </x:c>
      <x:c r="R105" s="25" t="n">
        <x:v>0</x:v>
      </x:c>
      <x:c r="S105" s="25" t="n">
        <x:f>SUM(H105:R105)</x:f>
        <x:v>145320</x:v>
      </x:c>
    </x:row>
    <x:row r="106">
      <x:c r="A106" s="22" t="str">
        <x:v>Alliage</x:v>
      </x:c>
      <x:c r="B106" s="22" t="str">
        <x:v>alliage_cuivre_zinc</x:v>
      </x:c>
      <x:c r="C106" s="22" t="str">
        <x:v>refined</x:v>
      </x:c>
      <x:c r="D106" s="25" t="n">
        <x:v>6</x:v>
      </x:c>
      <x:c r="E106" s="25" t="n">
        <x:v>7</x:v>
      </x:c>
      <x:c r="F106" s="25" t="n">
        <x:v>1615212</x:v>
      </x:c>
      <x:c r="G106" s="63" t="n">
        <x:v>14.941111666666666</x:v>
      </x:c>
      <x:c r="H106" s="25" t="n">
        <x:v>111240</x:v>
      </x:c>
      <x:c r="I106" s="25" t="n">
        <x:v>111240</x:v>
      </x:c>
      <x:c r="J106" s="25" t="n">
        <x:v>0</x:v>
      </x:c>
      <x:c r="K106" s="25" t="n">
        <x:v>0</x:v>
      </x:c>
      <x:c r="L106" s="25" t="n">
        <x:v>0</x:v>
      </x:c>
      <x:c r="M106" s="25" t="n">
        <x:v>0</x:v>
      </x:c>
      <x:c r="N106" s="25" t="n">
        <x:v>0</x:v>
      </x:c>
      <x:c r="O106" s="25" t="n">
        <x:v>0</x:v>
      </x:c>
      <x:c r="P106" s="25" t="n">
        <x:v>0</x:v>
      </x:c>
      <x:c r="Q106" s="25" t="n">
        <x:v>0</x:v>
      </x:c>
      <x:c r="R106" s="25" t="n">
        <x:v>0</x:v>
      </x:c>
      <x:c r="S106" s="25" t="n">
        <x:f>SUM(H106:R106)</x:f>
        <x:v>222480</x:v>
      </x:c>
    </x:row>
    <x:row r="107">
      <x:c r="A107" s="22" t="str">
        <x:v>Alliage</x:v>
      </x:c>
      <x:c r="B107" s="22" t="str">
        <x:v>alliage_cuivre_zinc</x:v>
      </x:c>
      <x:c r="C107" s="22" t="str">
        <x:v>refined</x:v>
      </x:c>
      <x:c r="D107" s="25" t="n">
        <x:v>7</x:v>
      </x:c>
      <x:c r="E107" s="25" t="n">
        <x:v>8</x:v>
      </x:c>
      <x:c r="F107" s="25" t="n">
        <x:v>2378395</x:v>
      </x:c>
      <x:c r="G107" s="63" t="n">
        <x:v>19.161061666666665</x:v>
      </x:c>
      <x:c r="H107" s="25" t="n">
        <x:v>159830</x:v>
      </x:c>
      <x:c r="I107" s="25" t="n">
        <x:v>159830</x:v>
      </x:c>
      <x:c r="J107" s="25" t="n">
        <x:v>0</x:v>
      </x:c>
      <x:c r="K107" s="25" t="n">
        <x:v>0</x:v>
      </x:c>
      <x:c r="L107" s="25" t="n">
        <x:v>0</x:v>
      </x:c>
      <x:c r="M107" s="25" t="n">
        <x:v>0</x:v>
      </x:c>
      <x:c r="N107" s="25" t="n">
        <x:v>0</x:v>
      </x:c>
      <x:c r="O107" s="25" t="n">
        <x:v>0</x:v>
      </x:c>
      <x:c r="P107" s="25" t="n">
        <x:v>0</x:v>
      </x:c>
      <x:c r="Q107" s="25" t="n">
        <x:v>0</x:v>
      </x:c>
      <x:c r="R107" s="25" t="n">
        <x:v>0</x:v>
      </x:c>
      <x:c r="S107" s="25" t="n">
        <x:f>SUM(H107:R107)</x:f>
        <x:v>319660</x:v>
      </x:c>
    </x:row>
    <x:row r="108">
      <x:c r="A108" s="22" t="str">
        <x:v>Alliage</x:v>
      </x:c>
      <x:c r="B108" s="22" t="str">
        <x:v>alliage_cuivre_zinc</x:v>
      </x:c>
      <x:c r="C108" s="22" t="str">
        <x:v>refined</x:v>
      </x:c>
      <x:c r="D108" s="25" t="n">
        <x:v>8</x:v>
      </x:c>
      <x:c r="E108" s="25" t="n">
        <x:v>9</x:v>
      </x:c>
      <x:c r="F108" s="25" t="n">
        <x:v>3303162</x:v>
      </x:c>
      <x:c r="G108" s="63" t="n">
        <x:v>23.786014166666668</x:v>
      </x:c>
      <x:c r="H108" s="25" t="n">
        <x:v>218700</x:v>
      </x:c>
      <x:c r="I108" s="25" t="n">
        <x:v>218700</x:v>
      </x:c>
      <x:c r="J108" s="25" t="n">
        <x:v>0</x:v>
      </x:c>
      <x:c r="K108" s="25" t="n">
        <x:v>0</x:v>
      </x:c>
      <x:c r="L108" s="25" t="n">
        <x:v>0</x:v>
      </x:c>
      <x:c r="M108" s="25" t="n">
        <x:v>0</x:v>
      </x:c>
      <x:c r="N108" s="25" t="n">
        <x:v>0</x:v>
      </x:c>
      <x:c r="O108" s="25" t="n">
        <x:v>0</x:v>
      </x:c>
      <x:c r="P108" s="25" t="n">
        <x:v>0</x:v>
      </x:c>
      <x:c r="Q108" s="25" t="n">
        <x:v>0</x:v>
      </x:c>
      <x:c r="R108" s="25" t="n">
        <x:v>0</x:v>
      </x:c>
      <x:c r="S108" s="25" t="n">
        <x:f>SUM(H108:R108)</x:f>
        <x:v>437400</x:v>
      </x:c>
    </x:row>
    <x:row r="109">
      <x:c r="A109" s="22" t="str">
        <x:v>Alliage</x:v>
      </x:c>
      <x:c r="B109" s="22" t="str">
        <x:v>alliage_cuivre_zinc</x:v>
      </x:c>
      <x:c r="C109" s="22" t="str">
        <x:v>refined</x:v>
      </x:c>
      <x:c r="D109" s="25" t="n">
        <x:v>9</x:v>
      </x:c>
      <x:c r="E109" s="25" t="n">
        <x:v>10</x:v>
      </x:c>
      <x:c r="F109" s="25" t="n">
        <x:v>4393306</x:v>
      </x:c>
      <x:c r="G109" s="63" t="n">
        <x:v>28.78855666666667</x:v>
      </x:c>
      <x:c r="H109" s="25" t="n">
        <x:v>288100</x:v>
      </x:c>
      <x:c r="I109" s="25" t="n">
        <x:v>288100</x:v>
      </x:c>
      <x:c r="J109" s="25" t="n">
        <x:v>0</x:v>
      </x:c>
      <x:c r="K109" s="25" t="n">
        <x:v>0</x:v>
      </x:c>
      <x:c r="L109" s="25" t="n">
        <x:v>0</x:v>
      </x:c>
      <x:c r="M109" s="25" t="n">
        <x:v>0</x:v>
      </x:c>
      <x:c r="N109" s="25" t="n">
        <x:v>0</x:v>
      </x:c>
      <x:c r="O109" s="25" t="n">
        <x:v>0</x:v>
      </x:c>
      <x:c r="P109" s="25" t="n">
        <x:v>0</x:v>
      </x:c>
      <x:c r="Q109" s="25" t="n">
        <x:v>0</x:v>
      </x:c>
      <x:c r="R109" s="25" t="n">
        <x:v>0</x:v>
      </x:c>
      <x:c r="S109" s="25" t="n">
        <x:f>SUM(H109:R109)</x:f>
        <x:v>576200</x:v>
      </x:c>
    </x:row>
    <x:row r="110">
      <x:c r="A110" s="22" t="str">
        <x:v>Alliage</x:v>
      </x:c>
      <x:c r="B110" s="22" t="str">
        <x:v>alliage_cuivre_zinc</x:v>
      </x:c>
      <x:c r="C110" s="22" t="str">
        <x:v>refined</x:v>
      </x:c>
      <x:c r="D110" s="25" t="n">
        <x:v>10</x:v>
      </x:c>
      <x:c r="E110" s="25" t="n">
        <x:v>11</x:v>
      </x:c>
      <x:c r="F110" s="25" t="n">
        <x:v>5652183</x:v>
      </x:c>
      <x:c r="G110" s="63" t="n">
        <x:v>34.146479722222224</x:v>
      </x:c>
      <x:c r="H110" s="25" t="n">
        <x:v>368250</x:v>
      </x:c>
      <x:c r="I110" s="25" t="n">
        <x:v>368250</x:v>
      </x:c>
      <x:c r="J110" s="25" t="n">
        <x:v>0</x:v>
      </x:c>
      <x:c r="K110" s="25" t="n">
        <x:v>0</x:v>
      </x:c>
      <x:c r="L110" s="25" t="n">
        <x:v>0</x:v>
      </x:c>
      <x:c r="M110" s="25" t="n">
        <x:v>0</x:v>
      </x:c>
      <x:c r="N110" s="25" t="n">
        <x:v>0</x:v>
      </x:c>
      <x:c r="O110" s="25" t="n">
        <x:v>0</x:v>
      </x:c>
      <x:c r="P110" s="25" t="n">
        <x:v>0</x:v>
      </x:c>
      <x:c r="Q110" s="25" t="n">
        <x:v>0</x:v>
      </x:c>
      <x:c r="R110" s="25" t="n">
        <x:v>0</x:v>
      </x:c>
      <x:c r="S110" s="25" t="n">
        <x:f>SUM(H110:R110)</x:f>
        <x:v>736500</x:v>
      </x:c>
    </x:row>
    <x:row r="111">
      <x:c r="A111" s="22" t="str">
        <x:v>Alliage</x:v>
      </x:c>
      <x:c r="B111" s="22" t="str">
        <x:v>alliage_cuivre_zinc</x:v>
      </x:c>
      <x:c r="C111" s="22" t="str">
        <x:v>refined</x:v>
      </x:c>
      <x:c r="D111" s="25" t="n">
        <x:v>11</x:v>
      </x:c>
      <x:c r="E111" s="25" t="n">
        <x:v>12</x:v>
      </x:c>
      <x:c r="F111" s="25" t="n">
        <x:v>7082804</x:v>
      </x:c>
      <x:c r="G111" s="63" t="n">
        <x:v>39.841297222222224</x:v>
      </x:c>
      <x:c r="H111" s="25" t="n">
        <x:v>459330</x:v>
      </x:c>
      <x:c r="I111" s="25" t="n">
        <x:v>459330</x:v>
      </x:c>
      <x:c r="J111" s="25" t="n">
        <x:v>0</x:v>
      </x:c>
      <x:c r="K111" s="25" t="n">
        <x:v>0</x:v>
      </x:c>
      <x:c r="L111" s="25" t="n">
        <x:v>0</x:v>
      </x:c>
      <x:c r="M111" s="25" t="n">
        <x:v>0</x:v>
      </x:c>
      <x:c r="N111" s="25" t="n">
        <x:v>0</x:v>
      </x:c>
      <x:c r="O111" s="25" t="n">
        <x:v>0</x:v>
      </x:c>
      <x:c r="P111" s="25" t="n">
        <x:v>0</x:v>
      </x:c>
      <x:c r="Q111" s="25" t="n">
        <x:v>0</x:v>
      </x:c>
      <x:c r="R111" s="25" t="n">
        <x:v>0</x:v>
      </x:c>
      <x:c r="S111" s="25" t="n">
        <x:f>SUM(H111:R111)</x:f>
        <x:v>918660</x:v>
      </x:c>
    </x:row>
    <x:row r="112">
      <x:c r="A112" s="22" t="str">
        <x:v>Alliage</x:v>
      </x:c>
      <x:c r="B112" s="22" t="str">
        <x:v>alliage_cuivre_zinc</x:v>
      </x:c>
      <x:c r="C112" s="22" t="str">
        <x:v>refined</x:v>
      </x:c>
      <x:c r="D112" s="25" t="n">
        <x:v>12</x:v>
      </x:c>
      <x:c r="E112" s="25" t="n">
        <x:v>13</x:v>
      </x:c>
      <x:c r="F112" s="25" t="n">
        <x:v>8687912</x:v>
      </x:c>
      <x:c r="G112" s="63" t="n">
        <x:v>45.8573</x:v>
      </x:c>
      <x:c r="H112" s="25" t="n">
        <x:v>561510</x:v>
      </x:c>
      <x:c r="I112" s="25" t="n">
        <x:v>561510</x:v>
      </x:c>
      <x:c r="J112" s="25" t="n">
        <x:v>0</x:v>
      </x:c>
      <x:c r="K112" s="25" t="n">
        <x:v>0</x:v>
      </x:c>
      <x:c r="L112" s="25" t="n">
        <x:v>0</x:v>
      </x:c>
      <x:c r="M112" s="25" t="n">
        <x:v>0</x:v>
      </x:c>
      <x:c r="N112" s="25" t="n">
        <x:v>0</x:v>
      </x:c>
      <x:c r="O112" s="25" t="n">
        <x:v>0</x:v>
      </x:c>
      <x:c r="P112" s="25" t="n">
        <x:v>0</x:v>
      </x:c>
      <x:c r="Q112" s="25" t="n">
        <x:v>0</x:v>
      </x:c>
      <x:c r="R112" s="25" t="n">
        <x:v>0</x:v>
      </x:c>
      <x:c r="S112" s="25" t="n">
        <x:f>SUM(H112:R112)</x:f>
        <x:v>1123020</x:v>
      </x:c>
    </x:row>
    <x:row r="113">
      <x:c r="A113" s="22" t="str">
        <x:v>Alliage</x:v>
      </x:c>
      <x:c r="B113" s="22" t="str">
        <x:v>alliage_cuivre_zinc</x:v>
      </x:c>
      <x:c r="C113" s="22" t="str">
        <x:v>refined</x:v>
      </x:c>
      <x:c r="D113" s="25" t="n">
        <x:v>13</x:v>
      </x:c>
      <x:c r="E113" s="25" t="n">
        <x:v>14</x:v>
      </x:c>
      <x:c r="F113" s="25" t="n">
        <x:v>10470020</x:v>
      </x:c>
      <x:c r="G113" s="63" t="n">
        <x:v>52.18091611111111</x:v>
      </x:c>
      <x:c r="H113" s="25" t="n">
        <x:v>674970</x:v>
      </x:c>
      <x:c r="I113" s="25" t="n">
        <x:v>674970</x:v>
      </x:c>
      <x:c r="J113" s="25" t="n">
        <x:v>0</x:v>
      </x:c>
      <x:c r="K113" s="25" t="n">
        <x:v>0</x:v>
      </x:c>
      <x:c r="L113" s="25" t="n">
        <x:v>0</x:v>
      </x:c>
      <x:c r="M113" s="25" t="n">
        <x:v>0</x:v>
      </x:c>
      <x:c r="N113" s="25" t="n">
        <x:v>0</x:v>
      </x:c>
      <x:c r="O113" s="25" t="n">
        <x:v>0</x:v>
      </x:c>
      <x:c r="P113" s="25" t="n">
        <x:v>0</x:v>
      </x:c>
      <x:c r="Q113" s="25" t="n">
        <x:v>0</x:v>
      </x:c>
      <x:c r="R113" s="25" t="n">
        <x:v>0</x:v>
      </x:c>
      <x:c r="S113" s="25" t="n">
        <x:f>SUM(H113:R113)</x:f>
        <x:v>1349940</x:v>
      </x:c>
    </x:row>
    <x:row r="114">
      <x:c r="A114" s="22" t="str">
        <x:v>Alliage</x:v>
      </x:c>
      <x:c r="B114" s="22" t="str">
        <x:v>alliage_cuivre_zinc</x:v>
      </x:c>
      <x:c r="C114" s="22" t="str">
        <x:v>refined</x:v>
      </x:c>
      <x:c r="D114" s="25" t="n">
        <x:v>14</x:v>
      </x:c>
      <x:c r="E114" s="25" t="n">
        <x:v>15</x:v>
      </x:c>
      <x:c r="F114" s="25" t="n">
        <x:v>12431458</x:v>
      </x:c>
      <x:c r="G114" s="63" t="n">
        <x:v>58.80026027777778</x:v>
      </x:c>
      <x:c r="H114" s="25" t="n">
        <x:v>799840</x:v>
      </x:c>
      <x:c r="I114" s="25" t="n">
        <x:v>799840</x:v>
      </x:c>
      <x:c r="J114" s="25" t="n">
        <x:v>0</x:v>
      </x:c>
      <x:c r="K114" s="25" t="n">
        <x:v>0</x:v>
      </x:c>
      <x:c r="L114" s="25" t="n">
        <x:v>0</x:v>
      </x:c>
      <x:c r="M114" s="25" t="n">
        <x:v>0</x:v>
      </x:c>
      <x:c r="N114" s="25" t="n">
        <x:v>0</x:v>
      </x:c>
      <x:c r="O114" s="25" t="n">
        <x:v>0</x:v>
      </x:c>
      <x:c r="P114" s="25" t="n">
        <x:v>0</x:v>
      </x:c>
      <x:c r="Q114" s="25" t="n">
        <x:v>0</x:v>
      </x:c>
      <x:c r="R114" s="25" t="n">
        <x:v>0</x:v>
      </x:c>
      <x:c r="S114" s="25" t="n">
        <x:f>SUM(H114:R114)</x:f>
        <x:v>1599680</x:v>
      </x:c>
    </x:row>
    <x:row r="115">
      <x:c r="A115" s="22" t="str">
        <x:v>Alliage</x:v>
      </x:c>
      <x:c r="B115" s="22" t="str">
        <x:v>alliage_cuivre_zinc</x:v>
      </x:c>
      <x:c r="C115" s="22" t="str">
        <x:v>refined</x:v>
      </x:c>
      <x:c r="D115" s="25" t="n">
        <x:v>15</x:v>
      </x:c>
      <x:c r="E115" s="25" t="n">
        <x:v>16</x:v>
      </x:c>
      <x:c r="F115" s="25" t="n">
        <x:v>14574393</x:v>
      </x:c>
      <x:c r="G115" s="63" t="n">
        <x:v>65.7048086111111</x:v>
      </x:c>
      <x:c r="H115" s="25" t="n">
        <x:v>936270</x:v>
      </x:c>
      <x:c r="I115" s="25" t="n">
        <x:v>936270</x:v>
      </x:c>
      <x:c r="J115" s="25" t="n">
        <x:v>0</x:v>
      </x:c>
      <x:c r="K115" s="25" t="n">
        <x:v>0</x:v>
      </x:c>
      <x:c r="L115" s="25" t="n">
        <x:v>0</x:v>
      </x:c>
      <x:c r="M115" s="25" t="n">
        <x:v>0</x:v>
      </x:c>
      <x:c r="N115" s="25" t="n">
        <x:v>0</x:v>
      </x:c>
      <x:c r="O115" s="25" t="n">
        <x:v>0</x:v>
      </x:c>
      <x:c r="P115" s="25" t="n">
        <x:v>0</x:v>
      </x:c>
      <x:c r="Q115" s="25" t="n">
        <x:v>0</x:v>
      </x:c>
      <x:c r="R115" s="25" t="n">
        <x:v>0</x:v>
      </x:c>
      <x:c r="S115" s="25" t="n">
        <x:f>SUM(H115:R115)</x:f>
        <x:v>1872540</x:v>
      </x:c>
    </x:row>
    <x:row r="116">
      <x:c r="A116" s="22" t="str">
        <x:v>Alliage</x:v>
      </x:c>
      <x:c r="B116" s="22" t="str">
        <x:v>alliage_cuivre_zinc</x:v>
      </x:c>
      <x:c r="C116" s="22" t="str">
        <x:v>refined</x:v>
      </x:c>
      <x:c r="D116" s="25" t="n">
        <x:v>16</x:v>
      </x:c>
      <x:c r="E116" s="25" t="n">
        <x:v>17</x:v>
      </x:c>
      <x:c r="F116" s="25" t="n">
        <x:v>16900856</x:v>
      </x:c>
      <x:c r="G116" s="63" t="n">
        <x:v>72.88515361111111</x:v>
      </x:c>
      <x:c r="H116" s="25" t="n">
        <x:v>1084380</x:v>
      </x:c>
      <x:c r="I116" s="25" t="n">
        <x:v>1084380</x:v>
      </x:c>
      <x:c r="J116" s="25" t="n">
        <x:v>0</x:v>
      </x:c>
      <x:c r="K116" s="25" t="n">
        <x:v>0</x:v>
      </x:c>
      <x:c r="L116" s="25" t="n">
        <x:v>0</x:v>
      </x:c>
      <x:c r="M116" s="25" t="n">
        <x:v>0</x:v>
      </x:c>
      <x:c r="N116" s="25" t="n">
        <x:v>0</x:v>
      </x:c>
      <x:c r="O116" s="25" t="n">
        <x:v>0</x:v>
      </x:c>
      <x:c r="P116" s="25" t="n">
        <x:v>0</x:v>
      </x:c>
      <x:c r="Q116" s="25" t="n">
        <x:v>0</x:v>
      </x:c>
      <x:c r="R116" s="25" t="n">
        <x:v>0</x:v>
      </x:c>
      <x:c r="S116" s="25" t="n">
        <x:f>SUM(H116:R116)</x:f>
        <x:v>2168760</x:v>
      </x:c>
    </x:row>
    <x:row r="117">
      <x:c r="A117" s="22" t="str">
        <x:v>Alliage</x:v>
      </x:c>
      <x:c r="B117" s="22" t="str">
        <x:v>alliage_cuivre_zinc</x:v>
      </x:c>
      <x:c r="C117" s="22" t="str">
        <x:v>refined</x:v>
      </x:c>
      <x:c r="D117" s="25" t="n">
        <x:v>17</x:v>
      </x:c>
      <x:c r="E117" s="25" t="n">
        <x:v>18</x:v>
      </x:c>
      <x:c r="F117" s="25" t="n">
        <x:v>19412757</x:v>
      </x:c>
      <x:c r="G117" s="63" t="n">
        <x:v>80.33281777777778</x:v>
      </x:c>
      <x:c r="H117" s="25" t="n">
        <x:v>1244300</x:v>
      </x:c>
      <x:c r="I117" s="25" t="n">
        <x:v>1244300</x:v>
      </x:c>
      <x:c r="J117" s="25" t="n">
        <x:v>0</x:v>
      </x:c>
      <x:c r="K117" s="25" t="n">
        <x:v>0</x:v>
      </x:c>
      <x:c r="L117" s="25" t="n">
        <x:v>0</x:v>
      </x:c>
      <x:c r="M117" s="25" t="n">
        <x:v>0</x:v>
      </x:c>
      <x:c r="N117" s="25" t="n">
        <x:v>0</x:v>
      </x:c>
      <x:c r="O117" s="25" t="n">
        <x:v>0</x:v>
      </x:c>
      <x:c r="P117" s="25" t="n">
        <x:v>0</x:v>
      </x:c>
      <x:c r="Q117" s="25" t="n">
        <x:v>0</x:v>
      </x:c>
      <x:c r="R117" s="25" t="n">
        <x:v>0</x:v>
      </x:c>
      <x:c r="S117" s="25" t="n">
        <x:f>SUM(H117:R117)</x:f>
        <x:v>2488600</x:v>
      </x:c>
    </x:row>
    <x:row r="118">
      <x:c r="A118" s="22" t="str">
        <x:v>Alliage</x:v>
      </x:c>
      <x:c r="B118" s="22" t="str">
        <x:v>alliage_cuivre_zinc</x:v>
      </x:c>
      <x:c r="C118" s="22" t="str">
        <x:v>refined</x:v>
      </x:c>
      <x:c r="D118" s="25" t="n">
        <x:v>18</x:v>
      </x:c>
      <x:c r="E118" s="25" t="n">
        <x:v>19</x:v>
      </x:c>
      <x:c r="F118" s="25" t="n">
        <x:v>22111901</x:v>
      </x:c>
      <x:c r="G118" s="63" t="n">
        <x:v>88.04010777777778</x:v>
      </x:c>
      <x:c r="H118" s="25" t="n">
        <x:v>1416130</x:v>
      </x:c>
      <x:c r="I118" s="25" t="n">
        <x:v>1416130</x:v>
      </x:c>
      <x:c r="J118" s="25" t="n">
        <x:v>0</x:v>
      </x:c>
      <x:c r="K118" s="25" t="n">
        <x:v>0</x:v>
      </x:c>
      <x:c r="L118" s="25" t="n">
        <x:v>0</x:v>
      </x:c>
      <x:c r="M118" s="25" t="n">
        <x:v>0</x:v>
      </x:c>
      <x:c r="N118" s="25" t="n">
        <x:v>0</x:v>
      </x:c>
      <x:c r="O118" s="25" t="n">
        <x:v>0</x:v>
      </x:c>
      <x:c r="P118" s="25" t="n">
        <x:v>0</x:v>
      </x:c>
      <x:c r="Q118" s="25" t="n">
        <x:v>0</x:v>
      </x:c>
      <x:c r="R118" s="25" t="n">
        <x:v>0</x:v>
      </x:c>
      <x:c r="S118" s="25" t="n">
        <x:f>SUM(H118:R118)</x:f>
        <x:v>2832260</x:v>
      </x:c>
    </x:row>
    <x:row r="119">
      <x:c r="A119" s="22" t="str">
        <x:v>Alliage</x:v>
      </x:c>
      <x:c r="B119" s="22" t="str">
        <x:v>alliage_cuivre_zinc</x:v>
      </x:c>
      <x:c r="C119" s="22" t="str">
        <x:v>refined</x:v>
      </x:c>
      <x:c r="D119" s="25" t="n">
        <x:v>19</x:v>
      </x:c>
      <x:c r="E119" s="25" t="n">
        <x:v>20</x:v>
      </x:c>
      <x:c r="F119" s="25" t="n">
        <x:v>25000000</x:v>
      </x:c>
      <x:c r="G119" s="63" t="n">
        <x:v>96</x:v>
      </x:c>
      <x:c r="H119" s="25" t="n">
        <x:v>1600000</x:v>
      </x:c>
      <x:c r="I119" s="25" t="n">
        <x:v>1600000</x:v>
      </x:c>
      <x:c r="J119" s="25" t="n">
        <x:v>0</x:v>
      </x:c>
      <x:c r="K119" s="25" t="n">
        <x:v>0</x:v>
      </x:c>
      <x:c r="L119" s="25" t="n">
        <x:v>0</x:v>
      </x:c>
      <x:c r="M119" s="25" t="n">
        <x:v>0</x:v>
      </x:c>
      <x:c r="N119" s="25" t="n">
        <x:v>0</x:v>
      </x:c>
      <x:c r="O119" s="25" t="n">
        <x:v>0</x:v>
      </x:c>
      <x:c r="P119" s="25" t="n">
        <x:v>0</x:v>
      </x:c>
      <x:c r="Q119" s="25" t="n">
        <x:v>0</x:v>
      </x:c>
      <x:c r="R119" s="25" t="n">
        <x:v>0</x:v>
      </x:c>
      <x:c r="S119" s="25" t="n">
        <x:f>SUM(H119:R119)</x:f>
        <x:v>3200000</x:v>
      </x:c>
    </x:row>
    <x:row r="120">
      <x:c r="A120" s="22" t="str">
        <x:v>Plaque</x:v>
      </x:c>
      <x:c r="B120" s="22" t="str">
        <x:v>plaque_nickel_titane</x:v>
      </x:c>
      <x:c r="C120" s="22" t="str">
        <x:v>refined</x:v>
      </x:c>
      <x:c r="D120" s="25" t="n">
        <x:v>0</x:v>
      </x:c>
      <x:c r="E120" s="25" t="n">
        <x:v>1</x:v>
      </x:c>
      <x:c r="F120" s="25" t="n">
        <x:v>25000</x:v>
      </x:c>
      <x:c r="G120" s="63" t="n">
        <x:v>2</x:v>
      </x:c>
      <x:c r="H120" s="25" t="n">
        <x:v>0</x:v>
      </x:c>
      <x:c r="I120" s="25" t="n">
        <x:v>0</x:v>
      </x:c>
      <x:c r="J120" s="25" t="n">
        <x:v>0</x:v>
      </x:c>
      <x:c r="K120" s="25" t="n">
        <x:v>10000</x:v>
      </x:c>
      <x:c r="L120" s="25" t="n">
        <x:v>10000</x:v>
      </x:c>
      <x:c r="M120" s="25" t="n">
        <x:v>0</x:v>
      </x:c>
      <x:c r="N120" s="25" t="n">
        <x:v>0</x:v>
      </x:c>
      <x:c r="O120" s="25" t="n">
        <x:v>0</x:v>
      </x:c>
      <x:c r="P120" s="25" t="n">
        <x:v>0</x:v>
      </x:c>
      <x:c r="Q120" s="25" t="n">
        <x:v>0</x:v>
      </x:c>
      <x:c r="R120" s="25" t="n">
        <x:v>0</x:v>
      </x:c>
      <x:c r="S120" s="25" t="n">
        <x:f>SUM(H120:R120)</x:f>
        <x:v>20000</x:v>
      </x:c>
    </x:row>
    <x:row r="121">
      <x:c r="A121" s="22" t="str">
        <x:v>Plaque</x:v>
      </x:c>
      <x:c r="B121" s="22" t="str">
        <x:v>plaque_nickel_titane</x:v>
      </x:c>
      <x:c r="C121" s="22" t="str">
        <x:v>refined</x:v>
      </x:c>
      <x:c r="D121" s="25" t="n">
        <x:v>1</x:v>
      </x:c>
      <x:c r="E121" s="25" t="n">
        <x:v>2</x:v>
      </x:c>
      <x:c r="F121" s="25" t="n">
        <x:v>25000</x:v>
      </x:c>
      <x:c r="G121" s="63" t="n">
        <x:v>2</x:v>
      </x:c>
      <x:c r="H121" s="25" t="n">
        <x:v>0</x:v>
      </x:c>
      <x:c r="I121" s="25" t="n">
        <x:v>0</x:v>
      </x:c>
      <x:c r="J121" s="25" t="n">
        <x:v>0</x:v>
      </x:c>
      <x:c r="K121" s="25" t="n">
        <x:v>10000</x:v>
      </x:c>
      <x:c r="L121" s="25" t="n">
        <x:v>10000</x:v>
      </x:c>
      <x:c r="M121" s="25" t="n">
        <x:v>0</x:v>
      </x:c>
      <x:c r="N121" s="25" t="n">
        <x:v>0</x:v>
      </x:c>
      <x:c r="O121" s="25" t="n">
        <x:v>0</x:v>
      </x:c>
      <x:c r="P121" s="25" t="n">
        <x:v>0</x:v>
      </x:c>
      <x:c r="Q121" s="25" t="n">
        <x:v>0</x:v>
      </x:c>
      <x:c r="R121" s="25" t="n">
        <x:v>0</x:v>
      </x:c>
      <x:c r="S121" s="25" t="n">
        <x:f>SUM(H121:R121)</x:f>
        <x:v>20000</x:v>
      </x:c>
    </x:row>
    <x:row r="122">
      <x:c r="A122" s="22" t="str">
        <x:v>Plaque</x:v>
      </x:c>
      <x:c r="B122" s="22" t="str">
        <x:v>plaque_nickel_titane</x:v>
      </x:c>
      <x:c r="C122" s="22" t="str">
        <x:v>refined</x:v>
      </x:c>
      <x:c r="D122" s="25" t="n">
        <x:v>2</x:v>
      </x:c>
      <x:c r="E122" s="25" t="n">
        <x:v>3</x:v>
      </x:c>
      <x:c r="F122" s="25" t="n">
        <x:v>74965</x:v>
      </x:c>
      <x:c r="G122" s="63" t="n">
        <x:v>3.0714355555555555</x:v>
      </x:c>
      <x:c r="H122" s="25" t="n">
        <x:v>0</x:v>
      </x:c>
      <x:c r="I122" s="25" t="n">
        <x:v>0</x:v>
      </x:c>
      <x:c r="J122" s="25" t="n">
        <x:v>0</x:v>
      </x:c>
      <x:c r="K122" s="25" t="n">
        <x:v>13180</x:v>
      </x:c>
      <x:c r="L122" s="25" t="n">
        <x:v>13180</x:v>
      </x:c>
      <x:c r="M122" s="25" t="n">
        <x:v>0</x:v>
      </x:c>
      <x:c r="N122" s="25" t="n">
        <x:v>0</x:v>
      </x:c>
      <x:c r="O122" s="25" t="n">
        <x:v>0</x:v>
      </x:c>
      <x:c r="P122" s="25" t="n">
        <x:v>0</x:v>
      </x:c>
      <x:c r="Q122" s="25" t="n">
        <x:v>0</x:v>
      </x:c>
      <x:c r="R122" s="25" t="n">
        <x:v>0</x:v>
      </x:c>
      <x:c r="S122" s="25" t="n">
        <x:f>SUM(H122:R122)</x:f>
        <x:v>26360</x:v>
      </x:c>
    </x:row>
    <x:row r="123">
      <x:c r="A123" s="22" t="str">
        <x:v>Plaque</x:v>
      </x:c>
      <x:c r="B123" s="22" t="str">
        <x:v>plaque_nickel_titane</x:v>
      </x:c>
      <x:c r="C123" s="22" t="str">
        <x:v>refined</x:v>
      </x:c>
      <x:c r="D123" s="25" t="n">
        <x:v>3</x:v>
      </x:c>
      <x:c r="E123" s="25" t="n">
        <x:v>4</x:v>
      </x:c>
      <x:c r="F123" s="25" t="n">
        <x:v>246760</x:v>
      </x:c>
      <x:c r="G123" s="63" t="n">
        <x:v>5.133000277777778</x:v>
      </x:c>
      <x:c r="H123" s="25" t="n">
        <x:v>0</x:v>
      </x:c>
      <x:c r="I123" s="25" t="n">
        <x:v>0</x:v>
      </x:c>
      <x:c r="J123" s="25" t="n">
        <x:v>0</x:v>
      </x:c>
      <x:c r="K123" s="25" t="n">
        <x:v>24120</x:v>
      </x:c>
      <x:c r="L123" s="25" t="n">
        <x:v>24120</x:v>
      </x:c>
      <x:c r="M123" s="25" t="n">
        <x:v>0</x:v>
      </x:c>
      <x:c r="N123" s="25" t="n">
        <x:v>0</x:v>
      </x:c>
      <x:c r="O123" s="25" t="n">
        <x:v>0</x:v>
      </x:c>
      <x:c r="P123" s="25" t="n">
        <x:v>0</x:v>
      </x:c>
      <x:c r="Q123" s="25" t="n">
        <x:v>0</x:v>
      </x:c>
      <x:c r="R123" s="25" t="n">
        <x:v>0</x:v>
      </x:c>
      <x:c r="S123" s="25" t="n">
        <x:f>SUM(H123:R123)</x:f>
        <x:v>48240</x:v>
      </x:c>
    </x:row>
    <x:row r="124">
      <x:c r="A124" s="22" t="str">
        <x:v>Plaque</x:v>
      </x:c>
      <x:c r="B124" s="22" t="str">
        <x:v>plaque_nickel_titane</x:v>
      </x:c>
      <x:c r="C124" s="22" t="str">
        <x:v>refined</x:v>
      </x:c>
      <x:c r="D124" s="25" t="n">
        <x:v>4</x:v>
      </x:c>
      <x:c r="E124" s="25" t="n">
        <x:v>5</x:v>
      </x:c>
      <x:c r="F124" s="25" t="n">
        <x:v>555250</x:v>
      </x:c>
      <x:c r="G124" s="63" t="n">
        <x:v>7.868805555555555</x:v>
      </x:c>
      <x:c r="H124" s="25" t="n">
        <x:v>0</x:v>
      </x:c>
      <x:c r="I124" s="25" t="n">
        <x:v>0</x:v>
      </x:c>
      <x:c r="J124" s="25" t="n">
        <x:v>0</x:v>
      </x:c>
      <x:c r="K124" s="25" t="n">
        <x:v>43760</x:v>
      </x:c>
      <x:c r="L124" s="25" t="n">
        <x:v>43760</x:v>
      </x:c>
      <x:c r="M124" s="25" t="n">
        <x:v>0</x:v>
      </x:c>
      <x:c r="N124" s="25" t="n">
        <x:v>0</x:v>
      </x:c>
      <x:c r="O124" s="25" t="n">
        <x:v>0</x:v>
      </x:c>
      <x:c r="P124" s="25" t="n">
        <x:v>0</x:v>
      </x:c>
      <x:c r="Q124" s="25" t="n">
        <x:v>0</x:v>
      </x:c>
      <x:c r="R124" s="25" t="n">
        <x:v>0</x:v>
      </x:c>
      <x:c r="S124" s="25" t="n">
        <x:f>SUM(H124:R124)</x:f>
        <x:v>87520</x:v>
      </x:c>
    </x:row>
    <x:row r="125">
      <x:c r="A125" s="22" t="str">
        <x:v>Plaque</x:v>
      </x:c>
      <x:c r="B125" s="22" t="str">
        <x:v>plaque_nickel_titane</x:v>
      </x:c>
      <x:c r="C125" s="22" t="str">
        <x:v>refined</x:v>
      </x:c>
      <x:c r="D125" s="25" t="n">
        <x:v>5</x:v>
      </x:c>
      <x:c r="E125" s="25" t="n">
        <x:v>6</x:v>
      </x:c>
      <x:c r="F125" s="25" t="n">
        <x:v>1009235</x:v>
      </x:c>
      <x:c r="G125" s="63" t="n">
        <x:v>11.161253055555555</x:v>
      </x:c>
      <x:c r="H125" s="25" t="n">
        <x:v>0</x:v>
      </x:c>
      <x:c r="I125" s="25" t="n">
        <x:v>0</x:v>
      </x:c>
      <x:c r="J125" s="25" t="n">
        <x:v>0</x:v>
      </x:c>
      <x:c r="K125" s="25" t="n">
        <x:v>72660</x:v>
      </x:c>
      <x:c r="L125" s="25" t="n">
        <x:v>72660</x:v>
      </x:c>
      <x:c r="M125" s="25" t="n">
        <x:v>0</x:v>
      </x:c>
      <x:c r="N125" s="25" t="n">
        <x:v>0</x:v>
      </x:c>
      <x:c r="O125" s="25" t="n">
        <x:v>0</x:v>
      </x:c>
      <x:c r="P125" s="25" t="n">
        <x:v>0</x:v>
      </x:c>
      <x:c r="Q125" s="25" t="n">
        <x:v>0</x:v>
      </x:c>
      <x:c r="R125" s="25" t="n">
        <x:v>0</x:v>
      </x:c>
      <x:c r="S125" s="25" t="n">
        <x:f>SUM(H125:R125)</x:f>
        <x:v>145320</x:v>
      </x:c>
    </x:row>
    <x:row r="126">
      <x:c r="A126" s="22" t="str">
        <x:v>Plaque</x:v>
      </x:c>
      <x:c r="B126" s="22" t="str">
        <x:v>plaque_nickel_titane</x:v>
      </x:c>
      <x:c r="C126" s="22" t="str">
        <x:v>refined</x:v>
      </x:c>
      <x:c r="D126" s="25" t="n">
        <x:v>6</x:v>
      </x:c>
      <x:c r="E126" s="25" t="n">
        <x:v>7</x:v>
      </x:c>
      <x:c r="F126" s="25" t="n">
        <x:v>1615212</x:v>
      </x:c>
      <x:c r="G126" s="63" t="n">
        <x:v>14.941111666666666</x:v>
      </x:c>
      <x:c r="H126" s="25" t="n">
        <x:v>0</x:v>
      </x:c>
      <x:c r="I126" s="25" t="n">
        <x:v>0</x:v>
      </x:c>
      <x:c r="J126" s="25" t="n">
        <x:v>0</x:v>
      </x:c>
      <x:c r="K126" s="25" t="n">
        <x:v>111240</x:v>
      </x:c>
      <x:c r="L126" s="25" t="n">
        <x:v>111240</x:v>
      </x:c>
      <x:c r="M126" s="25" t="n">
        <x:v>0</x:v>
      </x:c>
      <x:c r="N126" s="25" t="n">
        <x:v>0</x:v>
      </x:c>
      <x:c r="O126" s="25" t="n">
        <x:v>0</x:v>
      </x:c>
      <x:c r="P126" s="25" t="n">
        <x:v>0</x:v>
      </x:c>
      <x:c r="Q126" s="25" t="n">
        <x:v>0</x:v>
      </x:c>
      <x:c r="R126" s="25" t="n">
        <x:v>0</x:v>
      </x:c>
      <x:c r="S126" s="25" t="n">
        <x:f>SUM(H126:R126)</x:f>
        <x:v>222480</x:v>
      </x:c>
    </x:row>
    <x:row r="127">
      <x:c r="A127" s="22" t="str">
        <x:v>Plaque</x:v>
      </x:c>
      <x:c r="B127" s="22" t="str">
        <x:v>plaque_nickel_titane</x:v>
      </x:c>
      <x:c r="C127" s="22" t="str">
        <x:v>refined</x:v>
      </x:c>
      <x:c r="D127" s="25" t="n">
        <x:v>7</x:v>
      </x:c>
      <x:c r="E127" s="25" t="n">
        <x:v>8</x:v>
      </x:c>
      <x:c r="F127" s="25" t="n">
        <x:v>2378395</x:v>
      </x:c>
      <x:c r="G127" s="63" t="n">
        <x:v>19.161061666666665</x:v>
      </x:c>
      <x:c r="H127" s="25" t="n">
        <x:v>0</x:v>
      </x:c>
      <x:c r="I127" s="25" t="n">
        <x:v>0</x:v>
      </x:c>
      <x:c r="J127" s="25" t="n">
        <x:v>0</x:v>
      </x:c>
      <x:c r="K127" s="25" t="n">
        <x:v>159830</x:v>
      </x:c>
      <x:c r="L127" s="25" t="n">
        <x:v>159830</x:v>
      </x:c>
      <x:c r="M127" s="25" t="n">
        <x:v>0</x:v>
      </x:c>
      <x:c r="N127" s="25" t="n">
        <x:v>0</x:v>
      </x:c>
      <x:c r="O127" s="25" t="n">
        <x:v>0</x:v>
      </x:c>
      <x:c r="P127" s="25" t="n">
        <x:v>0</x:v>
      </x:c>
      <x:c r="Q127" s="25" t="n">
        <x:v>0</x:v>
      </x:c>
      <x:c r="R127" s="25" t="n">
        <x:v>0</x:v>
      </x:c>
      <x:c r="S127" s="25" t="n">
        <x:f>SUM(H127:R127)</x:f>
        <x:v>319660</x:v>
      </x:c>
    </x:row>
    <x:row r="128">
      <x:c r="A128" s="22" t="str">
        <x:v>Plaque</x:v>
      </x:c>
      <x:c r="B128" s="22" t="str">
        <x:v>plaque_nickel_titane</x:v>
      </x:c>
      <x:c r="C128" s="22" t="str">
        <x:v>refined</x:v>
      </x:c>
      <x:c r="D128" s="25" t="n">
        <x:v>8</x:v>
      </x:c>
      <x:c r="E128" s="25" t="n">
        <x:v>9</x:v>
      </x:c>
      <x:c r="F128" s="25" t="n">
        <x:v>3303162</x:v>
      </x:c>
      <x:c r="G128" s="63" t="n">
        <x:v>23.786014166666668</x:v>
      </x:c>
      <x:c r="H128" s="25" t="n">
        <x:v>0</x:v>
      </x:c>
      <x:c r="I128" s="25" t="n">
        <x:v>0</x:v>
      </x:c>
      <x:c r="J128" s="25" t="n">
        <x:v>0</x:v>
      </x:c>
      <x:c r="K128" s="25" t="n">
        <x:v>218700</x:v>
      </x:c>
      <x:c r="L128" s="25" t="n">
        <x:v>218700</x:v>
      </x:c>
      <x:c r="M128" s="25" t="n">
        <x:v>0</x:v>
      </x:c>
      <x:c r="N128" s="25" t="n">
        <x:v>0</x:v>
      </x:c>
      <x:c r="O128" s="25" t="n">
        <x:v>0</x:v>
      </x:c>
      <x:c r="P128" s="25" t="n">
        <x:v>0</x:v>
      </x:c>
      <x:c r="Q128" s="25" t="n">
        <x:v>0</x:v>
      </x:c>
      <x:c r="R128" s="25" t="n">
        <x:v>0</x:v>
      </x:c>
      <x:c r="S128" s="25" t="n">
        <x:f>SUM(H128:R128)</x:f>
        <x:v>437400</x:v>
      </x:c>
    </x:row>
    <x:row r="129">
      <x:c r="A129" s="22" t="str">
        <x:v>Plaque</x:v>
      </x:c>
      <x:c r="B129" s="22" t="str">
        <x:v>plaque_nickel_titane</x:v>
      </x:c>
      <x:c r="C129" s="22" t="str">
        <x:v>refined</x:v>
      </x:c>
      <x:c r="D129" s="25" t="n">
        <x:v>9</x:v>
      </x:c>
      <x:c r="E129" s="25" t="n">
        <x:v>10</x:v>
      </x:c>
      <x:c r="F129" s="25" t="n">
        <x:v>4393306</x:v>
      </x:c>
      <x:c r="G129" s="63" t="n">
        <x:v>28.78855666666667</x:v>
      </x:c>
      <x:c r="H129" s="25" t="n">
        <x:v>0</x:v>
      </x:c>
      <x:c r="I129" s="25" t="n">
        <x:v>0</x:v>
      </x:c>
      <x:c r="J129" s="25" t="n">
        <x:v>0</x:v>
      </x:c>
      <x:c r="K129" s="25" t="n">
        <x:v>288100</x:v>
      </x:c>
      <x:c r="L129" s="25" t="n">
        <x:v>288100</x:v>
      </x:c>
      <x:c r="M129" s="25" t="n">
        <x:v>0</x:v>
      </x:c>
      <x:c r="N129" s="25" t="n">
        <x:v>0</x:v>
      </x:c>
      <x:c r="O129" s="25" t="n">
        <x:v>0</x:v>
      </x:c>
      <x:c r="P129" s="25" t="n">
        <x:v>0</x:v>
      </x:c>
      <x:c r="Q129" s="25" t="n">
        <x:v>0</x:v>
      </x:c>
      <x:c r="R129" s="25" t="n">
        <x:v>0</x:v>
      </x:c>
      <x:c r="S129" s="25" t="n">
        <x:f>SUM(H129:R129)</x:f>
        <x:v>576200</x:v>
      </x:c>
    </x:row>
    <x:row r="130">
      <x:c r="A130" s="22" t="str">
        <x:v>Plaque</x:v>
      </x:c>
      <x:c r="B130" s="22" t="str">
        <x:v>plaque_nickel_titane</x:v>
      </x:c>
      <x:c r="C130" s="22" t="str">
        <x:v>refined</x:v>
      </x:c>
      <x:c r="D130" s="25" t="n">
        <x:v>10</x:v>
      </x:c>
      <x:c r="E130" s="25" t="n">
        <x:v>11</x:v>
      </x:c>
      <x:c r="F130" s="25" t="n">
        <x:v>5652183</x:v>
      </x:c>
      <x:c r="G130" s="63" t="n">
        <x:v>34.146479722222224</x:v>
      </x:c>
      <x:c r="H130" s="25" t="n">
        <x:v>0</x:v>
      </x:c>
      <x:c r="I130" s="25" t="n">
        <x:v>0</x:v>
      </x:c>
      <x:c r="J130" s="25" t="n">
        <x:v>0</x:v>
      </x:c>
      <x:c r="K130" s="25" t="n">
        <x:v>368250</x:v>
      </x:c>
      <x:c r="L130" s="25" t="n">
        <x:v>368250</x:v>
      </x:c>
      <x:c r="M130" s="25" t="n">
        <x:v>0</x:v>
      </x:c>
      <x:c r="N130" s="25" t="n">
        <x:v>0</x:v>
      </x:c>
      <x:c r="O130" s="25" t="n">
        <x:v>0</x:v>
      </x:c>
      <x:c r="P130" s="25" t="n">
        <x:v>0</x:v>
      </x:c>
      <x:c r="Q130" s="25" t="n">
        <x:v>0</x:v>
      </x:c>
      <x:c r="R130" s="25" t="n">
        <x:v>0</x:v>
      </x:c>
      <x:c r="S130" s="25" t="n">
        <x:f>SUM(H130:R130)</x:f>
        <x:v>736500</x:v>
      </x:c>
    </x:row>
    <x:row r="131">
      <x:c r="A131" s="22" t="str">
        <x:v>Plaque</x:v>
      </x:c>
      <x:c r="B131" s="22" t="str">
        <x:v>plaque_nickel_titane</x:v>
      </x:c>
      <x:c r="C131" s="22" t="str">
        <x:v>refined</x:v>
      </x:c>
      <x:c r="D131" s="25" t="n">
        <x:v>11</x:v>
      </x:c>
      <x:c r="E131" s="25" t="n">
        <x:v>12</x:v>
      </x:c>
      <x:c r="F131" s="25" t="n">
        <x:v>7082804</x:v>
      </x:c>
      <x:c r="G131" s="63" t="n">
        <x:v>39.841297222222224</x:v>
      </x:c>
      <x:c r="H131" s="25" t="n">
        <x:v>0</x:v>
      </x:c>
      <x:c r="I131" s="25" t="n">
        <x:v>0</x:v>
      </x:c>
      <x:c r="J131" s="25" t="n">
        <x:v>0</x:v>
      </x:c>
      <x:c r="K131" s="25" t="n">
        <x:v>459330</x:v>
      </x:c>
      <x:c r="L131" s="25" t="n">
        <x:v>459330</x:v>
      </x:c>
      <x:c r="M131" s="25" t="n">
        <x:v>0</x:v>
      </x:c>
      <x:c r="N131" s="25" t="n">
        <x:v>0</x:v>
      </x:c>
      <x:c r="O131" s="25" t="n">
        <x:v>0</x:v>
      </x:c>
      <x:c r="P131" s="25" t="n">
        <x:v>0</x:v>
      </x:c>
      <x:c r="Q131" s="25" t="n">
        <x:v>0</x:v>
      </x:c>
      <x:c r="R131" s="25" t="n">
        <x:v>0</x:v>
      </x:c>
      <x:c r="S131" s="25" t="n">
        <x:f>SUM(H131:R131)</x:f>
        <x:v>918660</x:v>
      </x:c>
    </x:row>
    <x:row r="132">
      <x:c r="A132" s="22" t="str">
        <x:v>Plaque</x:v>
      </x:c>
      <x:c r="B132" s="22" t="str">
        <x:v>plaque_nickel_titane</x:v>
      </x:c>
      <x:c r="C132" s="22" t="str">
        <x:v>refined</x:v>
      </x:c>
      <x:c r="D132" s="25" t="n">
        <x:v>12</x:v>
      </x:c>
      <x:c r="E132" s="25" t="n">
        <x:v>13</x:v>
      </x:c>
      <x:c r="F132" s="25" t="n">
        <x:v>8687912</x:v>
      </x:c>
      <x:c r="G132" s="63" t="n">
        <x:v>45.8573</x:v>
      </x:c>
      <x:c r="H132" s="25" t="n">
        <x:v>0</x:v>
      </x:c>
      <x:c r="I132" s="25" t="n">
        <x:v>0</x:v>
      </x:c>
      <x:c r="J132" s="25" t="n">
        <x:v>0</x:v>
      </x:c>
      <x:c r="K132" s="25" t="n">
        <x:v>561510</x:v>
      </x:c>
      <x:c r="L132" s="25" t="n">
        <x:v>561510</x:v>
      </x:c>
      <x:c r="M132" s="25" t="n">
        <x:v>0</x:v>
      </x:c>
      <x:c r="N132" s="25" t="n">
        <x:v>0</x:v>
      </x:c>
      <x:c r="O132" s="25" t="n">
        <x:v>0</x:v>
      </x:c>
      <x:c r="P132" s="25" t="n">
        <x:v>0</x:v>
      </x:c>
      <x:c r="Q132" s="25" t="n">
        <x:v>0</x:v>
      </x:c>
      <x:c r="R132" s="25" t="n">
        <x:v>0</x:v>
      </x:c>
      <x:c r="S132" s="25" t="n">
        <x:f>SUM(H132:R132)</x:f>
        <x:v>1123020</x:v>
      </x:c>
    </x:row>
    <x:row r="133">
      <x:c r="A133" s="22" t="str">
        <x:v>Plaque</x:v>
      </x:c>
      <x:c r="B133" s="22" t="str">
        <x:v>plaque_nickel_titane</x:v>
      </x:c>
      <x:c r="C133" s="22" t="str">
        <x:v>refined</x:v>
      </x:c>
      <x:c r="D133" s="25" t="n">
        <x:v>13</x:v>
      </x:c>
      <x:c r="E133" s="25" t="n">
        <x:v>14</x:v>
      </x:c>
      <x:c r="F133" s="25" t="n">
        <x:v>10470020</x:v>
      </x:c>
      <x:c r="G133" s="63" t="n">
        <x:v>52.18091611111111</x:v>
      </x:c>
      <x:c r="H133" s="25" t="n">
        <x:v>0</x:v>
      </x:c>
      <x:c r="I133" s="25" t="n">
        <x:v>0</x:v>
      </x:c>
      <x:c r="J133" s="25" t="n">
        <x:v>0</x:v>
      </x:c>
      <x:c r="K133" s="25" t="n">
        <x:v>674970</x:v>
      </x:c>
      <x:c r="L133" s="25" t="n">
        <x:v>674970</x:v>
      </x:c>
      <x:c r="M133" s="25" t="n">
        <x:v>0</x:v>
      </x:c>
      <x:c r="N133" s="25" t="n">
        <x:v>0</x:v>
      </x:c>
      <x:c r="O133" s="25" t="n">
        <x:v>0</x:v>
      </x:c>
      <x:c r="P133" s="25" t="n">
        <x:v>0</x:v>
      </x:c>
      <x:c r="Q133" s="25" t="n">
        <x:v>0</x:v>
      </x:c>
      <x:c r="R133" s="25" t="n">
        <x:v>0</x:v>
      </x:c>
      <x:c r="S133" s="25" t="n">
        <x:f>SUM(H133:R133)</x:f>
        <x:v>1349940</x:v>
      </x:c>
    </x:row>
    <x:row r="134">
      <x:c r="A134" s="22" t="str">
        <x:v>Plaque</x:v>
      </x:c>
      <x:c r="B134" s="22" t="str">
        <x:v>plaque_nickel_titane</x:v>
      </x:c>
      <x:c r="C134" s="22" t="str">
        <x:v>refined</x:v>
      </x:c>
      <x:c r="D134" s="25" t="n">
        <x:v>14</x:v>
      </x:c>
      <x:c r="E134" s="25" t="n">
        <x:v>15</x:v>
      </x:c>
      <x:c r="F134" s="25" t="n">
        <x:v>12431458</x:v>
      </x:c>
      <x:c r="G134" s="63" t="n">
        <x:v>58.80026027777778</x:v>
      </x:c>
      <x:c r="H134" s="25" t="n">
        <x:v>0</x:v>
      </x:c>
      <x:c r="I134" s="25" t="n">
        <x:v>0</x:v>
      </x:c>
      <x:c r="J134" s="25" t="n">
        <x:v>0</x:v>
      </x:c>
      <x:c r="K134" s="25" t="n">
        <x:v>799840</x:v>
      </x:c>
      <x:c r="L134" s="25" t="n">
        <x:v>799840</x:v>
      </x:c>
      <x:c r="M134" s="25" t="n">
        <x:v>0</x:v>
      </x:c>
      <x:c r="N134" s="25" t="n">
        <x:v>0</x:v>
      </x:c>
      <x:c r="O134" s="25" t="n">
        <x:v>0</x:v>
      </x:c>
      <x:c r="P134" s="25" t="n">
        <x:v>0</x:v>
      </x:c>
      <x:c r="Q134" s="25" t="n">
        <x:v>0</x:v>
      </x:c>
      <x:c r="R134" s="25" t="n">
        <x:v>0</x:v>
      </x:c>
      <x:c r="S134" s="25" t="n">
        <x:f>SUM(H134:R134)</x:f>
        <x:v>1599680</x:v>
      </x:c>
    </x:row>
    <x:row r="135">
      <x:c r="A135" s="22" t="str">
        <x:v>Plaque</x:v>
      </x:c>
      <x:c r="B135" s="22" t="str">
        <x:v>plaque_nickel_titane</x:v>
      </x:c>
      <x:c r="C135" s="22" t="str">
        <x:v>refined</x:v>
      </x:c>
      <x:c r="D135" s="25" t="n">
        <x:v>15</x:v>
      </x:c>
      <x:c r="E135" s="25" t="n">
        <x:v>16</x:v>
      </x:c>
      <x:c r="F135" s="25" t="n">
        <x:v>14574393</x:v>
      </x:c>
      <x:c r="G135" s="63" t="n">
        <x:v>65.7048086111111</x:v>
      </x:c>
      <x:c r="H135" s="25" t="n">
        <x:v>0</x:v>
      </x:c>
      <x:c r="I135" s="25" t="n">
        <x:v>0</x:v>
      </x:c>
      <x:c r="J135" s="25" t="n">
        <x:v>0</x:v>
      </x:c>
      <x:c r="K135" s="25" t="n">
        <x:v>936270</x:v>
      </x:c>
      <x:c r="L135" s="25" t="n">
        <x:v>936270</x:v>
      </x:c>
      <x:c r="M135" s="25" t="n">
        <x:v>0</x:v>
      </x:c>
      <x:c r="N135" s="25" t="n">
        <x:v>0</x:v>
      </x:c>
      <x:c r="O135" s="25" t="n">
        <x:v>0</x:v>
      </x:c>
      <x:c r="P135" s="25" t="n">
        <x:v>0</x:v>
      </x:c>
      <x:c r="Q135" s="25" t="n">
        <x:v>0</x:v>
      </x:c>
      <x:c r="R135" s="25" t="n">
        <x:v>0</x:v>
      </x:c>
      <x:c r="S135" s="25" t="n">
        <x:f>SUM(H135:R135)</x:f>
        <x:v>1872540</x:v>
      </x:c>
    </x:row>
    <x:row r="136">
      <x:c r="A136" s="22" t="str">
        <x:v>Plaque</x:v>
      </x:c>
      <x:c r="B136" s="22" t="str">
        <x:v>plaque_nickel_titane</x:v>
      </x:c>
      <x:c r="C136" s="22" t="str">
        <x:v>refined</x:v>
      </x:c>
      <x:c r="D136" s="25" t="n">
        <x:v>16</x:v>
      </x:c>
      <x:c r="E136" s="25" t="n">
        <x:v>17</x:v>
      </x:c>
      <x:c r="F136" s="25" t="n">
        <x:v>16900856</x:v>
      </x:c>
      <x:c r="G136" s="63" t="n">
        <x:v>72.88515361111111</x:v>
      </x:c>
      <x:c r="H136" s="25" t="n">
        <x:v>0</x:v>
      </x:c>
      <x:c r="I136" s="25" t="n">
        <x:v>0</x:v>
      </x:c>
      <x:c r="J136" s="25" t="n">
        <x:v>0</x:v>
      </x:c>
      <x:c r="K136" s="25" t="n">
        <x:v>1084380</x:v>
      </x:c>
      <x:c r="L136" s="25" t="n">
        <x:v>1084380</x:v>
      </x:c>
      <x:c r="M136" s="25" t="n">
        <x:v>0</x:v>
      </x:c>
      <x:c r="N136" s="25" t="n">
        <x:v>0</x:v>
      </x:c>
      <x:c r="O136" s="25" t="n">
        <x:v>0</x:v>
      </x:c>
      <x:c r="P136" s="25" t="n">
        <x:v>0</x:v>
      </x:c>
      <x:c r="Q136" s="25" t="n">
        <x:v>0</x:v>
      </x:c>
      <x:c r="R136" s="25" t="n">
        <x:v>0</x:v>
      </x:c>
      <x:c r="S136" s="25" t="n">
        <x:f>SUM(H136:R136)</x:f>
        <x:v>2168760</x:v>
      </x:c>
    </x:row>
    <x:row r="137">
      <x:c r="A137" s="22" t="str">
        <x:v>Plaque</x:v>
      </x:c>
      <x:c r="B137" s="22" t="str">
        <x:v>plaque_nickel_titane</x:v>
      </x:c>
      <x:c r="C137" s="22" t="str">
        <x:v>refined</x:v>
      </x:c>
      <x:c r="D137" s="25" t="n">
        <x:v>17</x:v>
      </x:c>
      <x:c r="E137" s="25" t="n">
        <x:v>18</x:v>
      </x:c>
      <x:c r="F137" s="25" t="n">
        <x:v>19412757</x:v>
      </x:c>
      <x:c r="G137" s="63" t="n">
        <x:v>80.33281777777778</x:v>
      </x:c>
      <x:c r="H137" s="25" t="n">
        <x:v>0</x:v>
      </x:c>
      <x:c r="I137" s="25" t="n">
        <x:v>0</x:v>
      </x:c>
      <x:c r="J137" s="25" t="n">
        <x:v>0</x:v>
      </x:c>
      <x:c r="K137" s="25" t="n">
        <x:v>1244300</x:v>
      </x:c>
      <x:c r="L137" s="25" t="n">
        <x:v>1244300</x:v>
      </x:c>
      <x:c r="M137" s="25" t="n">
        <x:v>0</x:v>
      </x:c>
      <x:c r="N137" s="25" t="n">
        <x:v>0</x:v>
      </x:c>
      <x:c r="O137" s="25" t="n">
        <x:v>0</x:v>
      </x:c>
      <x:c r="P137" s="25" t="n">
        <x:v>0</x:v>
      </x:c>
      <x:c r="Q137" s="25" t="n">
        <x:v>0</x:v>
      </x:c>
      <x:c r="R137" s="25" t="n">
        <x:v>0</x:v>
      </x:c>
      <x:c r="S137" s="25" t="n">
        <x:f>SUM(H137:R137)</x:f>
        <x:v>2488600</x:v>
      </x:c>
    </x:row>
    <x:row r="138">
      <x:c r="A138" s="22" t="str">
        <x:v>Plaque</x:v>
      </x:c>
      <x:c r="B138" s="22" t="str">
        <x:v>plaque_nickel_titane</x:v>
      </x:c>
      <x:c r="C138" s="22" t="str">
        <x:v>refined</x:v>
      </x:c>
      <x:c r="D138" s="25" t="n">
        <x:v>18</x:v>
      </x:c>
      <x:c r="E138" s="25" t="n">
        <x:v>19</x:v>
      </x:c>
      <x:c r="F138" s="25" t="n">
        <x:v>22111901</x:v>
      </x:c>
      <x:c r="G138" s="63" t="n">
        <x:v>88.04010777777778</x:v>
      </x:c>
      <x:c r="H138" s="25" t="n">
        <x:v>0</x:v>
      </x:c>
      <x:c r="I138" s="25" t="n">
        <x:v>0</x:v>
      </x:c>
      <x:c r="J138" s="25" t="n">
        <x:v>0</x:v>
      </x:c>
      <x:c r="K138" s="25" t="n">
        <x:v>1416130</x:v>
      </x:c>
      <x:c r="L138" s="25" t="n">
        <x:v>1416130</x:v>
      </x:c>
      <x:c r="M138" s="25" t="n">
        <x:v>0</x:v>
      </x:c>
      <x:c r="N138" s="25" t="n">
        <x:v>0</x:v>
      </x:c>
      <x:c r="O138" s="25" t="n">
        <x:v>0</x:v>
      </x:c>
      <x:c r="P138" s="25" t="n">
        <x:v>0</x:v>
      </x:c>
      <x:c r="Q138" s="25" t="n">
        <x:v>0</x:v>
      </x:c>
      <x:c r="R138" s="25" t="n">
        <x:v>0</x:v>
      </x:c>
      <x:c r="S138" s="25" t="n">
        <x:f>SUM(H138:R138)</x:f>
        <x:v>2832260</x:v>
      </x:c>
    </x:row>
    <x:row r="139">
      <x:c r="A139" s="22" t="str">
        <x:v>Plaque</x:v>
      </x:c>
      <x:c r="B139" s="22" t="str">
        <x:v>plaque_nickel_titane</x:v>
      </x:c>
      <x:c r="C139" s="22" t="str">
        <x:v>refined</x:v>
      </x:c>
      <x:c r="D139" s="25" t="n">
        <x:v>19</x:v>
      </x:c>
      <x:c r="E139" s="25" t="n">
        <x:v>20</x:v>
      </x:c>
      <x:c r="F139" s="25" t="n">
        <x:v>25000000</x:v>
      </x:c>
      <x:c r="G139" s="63" t="n">
        <x:v>96</x:v>
      </x:c>
      <x:c r="H139" s="25" t="n">
        <x:v>0</x:v>
      </x:c>
      <x:c r="I139" s="25" t="n">
        <x:v>0</x:v>
      </x:c>
      <x:c r="J139" s="25" t="n">
        <x:v>0</x:v>
      </x:c>
      <x:c r="K139" s="25" t="n">
        <x:v>1600000</x:v>
      </x:c>
      <x:c r="L139" s="25" t="n">
        <x:v>1600000</x:v>
      </x:c>
      <x:c r="M139" s="25" t="n">
        <x:v>0</x:v>
      </x:c>
      <x:c r="N139" s="25" t="n">
        <x:v>0</x:v>
      </x:c>
      <x:c r="O139" s="25" t="n">
        <x:v>0</x:v>
      </x:c>
      <x:c r="P139" s="25" t="n">
        <x:v>0</x:v>
      </x:c>
      <x:c r="Q139" s="25" t="n">
        <x:v>0</x:v>
      </x:c>
      <x:c r="R139" s="25" t="n">
        <x:v>0</x:v>
      </x:c>
      <x:c r="S139" s="25" t="n">
        <x:f>SUM(H139:R139)</x:f>
        <x:v>3200000</x:v>
      </x:c>
    </x:row>
    <x:row r="140">
      <x:c r="A140" s="22" t="str">
        <x:v>Conducteur</x:v>
      </x:c>
      <x:c r="B140" s="22" t="str">
        <x:v>conducteur_renforce</x:v>
      </x:c>
      <x:c r="C140" s="22" t="str">
        <x:v>advanced</x:v>
      </x:c>
      <x:c r="D140" s="25" t="n">
        <x:v>0</x:v>
      </x:c>
      <x:c r="E140" s="25" t="n">
        <x:v>1</x:v>
      </x:c>
      <x:c r="F140" s="25" t="n">
        <x:v>100000</x:v>
      </x:c>
      <x:c r="G140" s="63" t="n">
        <x:v>6</x:v>
      </x:c>
      <x:c r="H140" s="25" t="n">
        <x:v>0</x:v>
      </x:c>
      <x:c r="I140" s="25" t="n">
        <x:v>0</x:v>
      </x:c>
      <x:c r="J140" s="25" t="n">
        <x:v>0</x:v>
      </x:c>
      <x:c r="K140" s="25" t="n">
        <x:v>0</x:v>
      </x:c>
      <x:c r="L140" s="25" t="n">
        <x:v>0</x:v>
      </x:c>
      <x:c r="M140" s="25" t="n">
        <x:v>9000</x:v>
      </x:c>
      <x:c r="N140" s="25" t="n">
        <x:v>0</x:v>
      </x:c>
      <x:c r="O140" s="25" t="n">
        <x:v>0</x:v>
      </x:c>
      <x:c r="P140" s="25" t="n">
        <x:v>0</x:v>
      </x:c>
      <x:c r="Q140" s="25" t="n">
        <x:v>4500</x:v>
      </x:c>
      <x:c r="R140" s="25" t="n">
        <x:v>0</x:v>
      </x:c>
      <x:c r="S140" s="25" t="n">
        <x:f>SUM(H140:R140)</x:f>
        <x:v>13500</x:v>
      </x:c>
    </x:row>
    <x:row r="141">
      <x:c r="A141" s="22" t="str">
        <x:v>Conducteur</x:v>
      </x:c>
      <x:c r="B141" s="22" t="str">
        <x:v>conducteur_renforce</x:v>
      </x:c>
      <x:c r="C141" s="22" t="str">
        <x:v>advanced</x:v>
      </x:c>
      <x:c r="D141" s="25" t="n">
        <x:v>1</x:v>
      </x:c>
      <x:c r="E141" s="25" t="n">
        <x:v>2</x:v>
      </x:c>
      <x:c r="F141" s="25" t="n">
        <x:v>100000</x:v>
      </x:c>
      <x:c r="G141" s="63" t="n">
        <x:v>6</x:v>
      </x:c>
      <x:c r="H141" s="25" t="n">
        <x:v>0</x:v>
      </x:c>
      <x:c r="I141" s="25" t="n">
        <x:v>0</x:v>
      </x:c>
      <x:c r="J141" s="25" t="n">
        <x:v>0</x:v>
      </x:c>
      <x:c r="K141" s="25" t="n">
        <x:v>0</x:v>
      </x:c>
      <x:c r="L141" s="25" t="n">
        <x:v>0</x:v>
      </x:c>
      <x:c r="M141" s="25" t="n">
        <x:v>9000</x:v>
      </x:c>
      <x:c r="N141" s="25" t="n">
        <x:v>0</x:v>
      </x:c>
      <x:c r="O141" s="25" t="n">
        <x:v>0</x:v>
      </x:c>
      <x:c r="P141" s="25" t="n">
        <x:v>0</x:v>
      </x:c>
      <x:c r="Q141" s="25" t="n">
        <x:v>4500</x:v>
      </x:c>
      <x:c r="R141" s="25" t="n">
        <x:v>0</x:v>
      </x:c>
      <x:c r="S141" s="25" t="n">
        <x:f>SUM(H141:R141)</x:f>
        <x:v>13500</x:v>
      </x:c>
    </x:row>
    <x:row r="142">
      <x:c r="A142" s="22" t="str">
        <x:v>Conducteur</x:v>
      </x:c>
      <x:c r="B142" s="22" t="str">
        <x:v>conducteur_renforce</x:v>
      </x:c>
      <x:c r="C142" s="22" t="str">
        <x:v>advanced</x:v>
      </x:c>
      <x:c r="D142" s="25" t="n">
        <x:v>2</x:v>
      </x:c>
      <x:c r="E142" s="25" t="n">
        <x:v>3</x:v>
      </x:c>
      <x:c r="F142" s="25" t="n">
        <x:v>189756</x:v>
      </x:c>
      <x:c r="G142" s="63" t="n">
        <x:v>7.499593611111111</x:v>
      </x:c>
      <x:c r="H142" s="25" t="n">
        <x:v>0</x:v>
      </x:c>
      <x:c r="I142" s="25" t="n">
        <x:v>0</x:v>
      </x:c>
      <x:c r="J142" s="25" t="n">
        <x:v>0</x:v>
      </x:c>
      <x:c r="K142" s="25" t="n">
        <x:v>0</x:v>
      </x:c>
      <x:c r="L142" s="25" t="n">
        <x:v>0</x:v>
      </x:c>
      <x:c r="M142" s="25" t="n">
        <x:v>11680</x:v>
      </x:c>
      <x:c r="N142" s="25" t="n">
        <x:v>0</x:v>
      </x:c>
      <x:c r="O142" s="25" t="n">
        <x:v>0</x:v>
      </x:c>
      <x:c r="P142" s="25" t="n">
        <x:v>0</x:v>
      </x:c>
      <x:c r="Q142" s="25" t="n">
        <x:v>5840</x:v>
      </x:c>
      <x:c r="R142" s="25" t="n">
        <x:v>0</x:v>
      </x:c>
      <x:c r="S142" s="25" t="n">
        <x:f>SUM(H142:R142)</x:f>
        <x:v>17520</x:v>
      </x:c>
    </x:row>
    <x:row r="143">
      <x:c r="A143" s="22" t="str">
        <x:v>Conducteur</x:v>
      </x:c>
      <x:c r="B143" s="22" t="str">
        <x:v>conducteur_renforce</x:v>
      </x:c>
      <x:c r="C143" s="22" t="str">
        <x:v>advanced</x:v>
      </x:c>
      <x:c r="D143" s="25" t="n">
        <x:v>3</x:v>
      </x:c>
      <x:c r="E143" s="25" t="n">
        <x:v>4</x:v>
      </x:c>
      <x:c r="F143" s="25" t="n">
        <x:v>526954</x:v>
      </x:c>
      <x:c r="G143" s="63" t="n">
        <x:v>10.60937611111111</x:v>
      </x:c>
      <x:c r="H143" s="25" t="n">
        <x:v>0</x:v>
      </x:c>
      <x:c r="I143" s="25" t="n">
        <x:v>0</x:v>
      </x:c>
      <x:c r="J143" s="25" t="n">
        <x:v>0</x:v>
      </x:c>
      <x:c r="K143" s="25" t="n">
        <x:v>0</x:v>
      </x:c>
      <x:c r="L143" s="25" t="n">
        <x:v>0</x:v>
      </x:c>
      <x:c r="M143" s="25" t="n">
        <x:v>21770</x:v>
      </x:c>
      <x:c r="N143" s="25" t="n">
        <x:v>0</x:v>
      </x:c>
      <x:c r="O143" s="25" t="n">
        <x:v>0</x:v>
      </x:c>
      <x:c r="P143" s="25" t="n">
        <x:v>0</x:v>
      </x:c>
      <x:c r="Q143" s="25" t="n">
        <x:v>10885</x:v>
      </x:c>
      <x:c r="R143" s="25" t="n">
        <x:v>0</x:v>
      </x:c>
      <x:c r="S143" s="25" t="n">
        <x:f>SUM(H143:R143)</x:f>
        <x:v>32655</x:v>
      </x:c>
    </x:row>
    <x:row r="144">
      <x:c r="A144" s="22" t="str">
        <x:v>Conducteur</x:v>
      </x:c>
      <x:c r="B144" s="22" t="str">
        <x:v>conducteur_renforce</x:v>
      </x:c>
      <x:c r="C144" s="22" t="str">
        <x:v>advanced</x:v>
      </x:c>
      <x:c r="D144" s="25" t="n">
        <x:v>4</x:v>
      </x:c>
      <x:c r="E144" s="25" t="n">
        <x:v>5</x:v>
      </x:c>
      <x:c r="F144" s="25" t="n">
        <x:v>1163130</x:v>
      </x:c>
      <x:c r="G144" s="63" t="n">
        <x:v>14.890168333333333</x:v>
      </x:c>
      <x:c r="H144" s="25" t="n">
        <x:v>0</x:v>
      </x:c>
      <x:c r="I144" s="25" t="n">
        <x:v>0</x:v>
      </x:c>
      <x:c r="J144" s="25" t="n">
        <x:v>0</x:v>
      </x:c>
      <x:c r="K144" s="25" t="n">
        <x:v>0</x:v>
      </x:c>
      <x:c r="L144" s="25" t="n">
        <x:v>0</x:v>
      </x:c>
      <x:c r="M144" s="25" t="n">
        <x:v>40790</x:v>
      </x:c>
      <x:c r="N144" s="25" t="n">
        <x:v>0</x:v>
      </x:c>
      <x:c r="O144" s="25" t="n">
        <x:v>0</x:v>
      </x:c>
      <x:c r="P144" s="25" t="n">
        <x:v>0</x:v>
      </x:c>
      <x:c r="Q144" s="25" t="n">
        <x:v>20395</x:v>
      </x:c>
      <x:c r="R144" s="25" t="n">
        <x:v>0</x:v>
      </x:c>
      <x:c r="S144" s="25" t="n">
        <x:f>SUM(H144:R144)</x:f>
        <x:v>61185</x:v>
      </x:c>
    </x:row>
    <x:row r="145">
      <x:c r="A145" s="22" t="str">
        <x:v>Conducteur</x:v>
      </x:c>
      <x:c r="B145" s="22" t="str">
        <x:v>conducteur_renforce</x:v>
      </x:c>
      <x:c r="C145" s="22" t="str">
        <x:v>advanced</x:v>
      </x:c>
      <x:c r="D145" s="25" t="n">
        <x:v>5</x:v>
      </x:c>
      <x:c r="E145" s="25" t="n">
        <x:v>6</x:v>
      </x:c>
      <x:c r="F145" s="25" t="n">
        <x:v>2130947</x:v>
      </x:c>
      <x:c r="G145" s="63" t="n">
        <x:v>20.168071666666666</x:v>
      </x:c>
      <x:c r="H145" s="25" t="n">
        <x:v>0</x:v>
      </x:c>
      <x:c r="I145" s="25" t="n">
        <x:v>0</x:v>
      </x:c>
      <x:c r="J145" s="25" t="n">
        <x:v>0</x:v>
      </x:c>
      <x:c r="K145" s="25" t="n">
        <x:v>0</x:v>
      </x:c>
      <x:c r="L145" s="25" t="n">
        <x:v>0</x:v>
      </x:c>
      <x:c r="M145" s="25" t="n">
        <x:v>69720</x:v>
      </x:c>
      <x:c r="N145" s="25" t="n">
        <x:v>0</x:v>
      </x:c>
      <x:c r="O145" s="25" t="n">
        <x:v>0</x:v>
      </x:c>
      <x:c r="P145" s="25" t="n">
        <x:v>0</x:v>
      </x:c>
      <x:c r="Q145" s="25" t="n">
        <x:v>34860</x:v>
      </x:c>
      <x:c r="R145" s="25" t="n">
        <x:v>0</x:v>
      </x:c>
      <x:c r="S145" s="25" t="n">
        <x:f>SUM(H145:R145)</x:f>
        <x:v>104580</x:v>
      </x:c>
    </x:row>
    <x:row r="146">
      <x:c r="A146" s="22" t="str">
        <x:v>Conducteur</x:v>
      </x:c>
      <x:c r="B146" s="22" t="str">
        <x:v>conducteur_renforce</x:v>
      </x:c>
      <x:c r="C146" s="22" t="str">
        <x:v>advanced</x:v>
      </x:c>
      <x:c r="D146" s="25" t="n">
        <x:v>6</x:v>
      </x:c>
      <x:c r="E146" s="25" t="n">
        <x:v>7</x:v>
      </x:c>
      <x:c r="F146" s="25" t="n">
        <x:v>3455415</x:v>
      </x:c>
      <x:c r="G146" s="63" t="n">
        <x:v>26.337846388888888</x:v>
      </x:c>
      <x:c r="H146" s="25" t="n">
        <x:v>0</x:v>
      </x:c>
      <x:c r="I146" s="25" t="n">
        <x:v>0</x:v>
      </x:c>
      <x:c r="J146" s="25" t="n">
        <x:v>0</x:v>
      </x:c>
      <x:c r="K146" s="25" t="n">
        <x:v>0</x:v>
      </x:c>
      <x:c r="L146" s="25" t="n">
        <x:v>0</x:v>
      </x:c>
      <x:c r="M146" s="25" t="n">
        <x:v>109330</x:v>
      </x:c>
      <x:c r="N146" s="25" t="n">
        <x:v>0</x:v>
      </x:c>
      <x:c r="O146" s="25" t="n">
        <x:v>0</x:v>
      </x:c>
      <x:c r="P146" s="25" t="n">
        <x:v>0</x:v>
      </x:c>
      <x:c r="Q146" s="25" t="n">
        <x:v>54665</x:v>
      </x:c>
      <x:c r="R146" s="25" t="n">
        <x:v>0</x:v>
      </x:c>
      <x:c r="S146" s="25" t="n">
        <x:f>SUM(H146:R146)</x:f>
        <x:v>163995</x:v>
      </x:c>
    </x:row>
    <x:row r="147">
      <x:c r="A147" s="22" t="str">
        <x:v>Conducteur</x:v>
      </x:c>
      <x:c r="B147" s="22" t="str">
        <x:v>conducteur_renforce</x:v>
      </x:c>
      <x:c r="C147" s="22" t="str">
        <x:v>advanced</x:v>
      </x:c>
      <x:c r="D147" s="25" t="n">
        <x:v>7</x:v>
      </x:c>
      <x:c r="E147" s="25" t="n">
        <x:v>8</x:v>
      </x:c>
      <x:c r="F147" s="25" t="n">
        <x:v>5157129</x:v>
      </x:c>
      <x:c r="G147" s="63" t="n">
        <x:v>33.32615833333333</x:v>
      </x:c>
      <x:c r="H147" s="25" t="n">
        <x:v>0</x:v>
      </x:c>
      <x:c r="I147" s="25" t="n">
        <x:v>0</x:v>
      </x:c>
      <x:c r="J147" s="25" t="n">
        <x:v>0</x:v>
      </x:c>
      <x:c r="K147" s="25" t="n">
        <x:v>0</x:v>
      </x:c>
      <x:c r="L147" s="25" t="n">
        <x:v>0</x:v>
      </x:c>
      <x:c r="M147" s="25" t="n">
        <x:v>160210</x:v>
      </x:c>
      <x:c r="N147" s="25" t="n">
        <x:v>0</x:v>
      </x:c>
      <x:c r="O147" s="25" t="n">
        <x:v>0</x:v>
      </x:c>
      <x:c r="P147" s="25" t="n">
        <x:v>0</x:v>
      </x:c>
      <x:c r="Q147" s="25" t="n">
        <x:v>80105</x:v>
      </x:c>
      <x:c r="R147" s="25" t="n">
        <x:v>0</x:v>
      </x:c>
      <x:c r="S147" s="25" t="n">
        <x:f>SUM(H147:R147)</x:f>
        <x:v>240315</x:v>
      </x:c>
    </x:row>
    <x:row r="148">
      <x:c r="A148" s="22" t="str">
        <x:v>Conducteur</x:v>
      </x:c>
      <x:c r="B148" s="22" t="str">
        <x:v>conducteur_renforce</x:v>
      </x:c>
      <x:c r="C148" s="22" t="str">
        <x:v>advanced</x:v>
      </x:c>
      <x:c r="D148" s="25" t="n">
        <x:v>8</x:v>
      </x:c>
      <x:c r="E148" s="25" t="n">
        <x:v>9</x:v>
      </x:c>
      <x:c r="F148" s="25" t="n">
        <x:v>7253759</x:v>
      </x:c>
      <x:c r="G148" s="63" t="n">
        <x:v>41.07780277777778</x:v>
      </x:c>
      <x:c r="H148" s="25" t="n">
        <x:v>0</x:v>
      </x:c>
      <x:c r="I148" s="25" t="n">
        <x:v>0</x:v>
      </x:c>
      <x:c r="J148" s="25" t="n">
        <x:v>0</x:v>
      </x:c>
      <x:c r="K148" s="25" t="n">
        <x:v>0</x:v>
      </x:c>
      <x:c r="L148" s="25" t="n">
        <x:v>0</x:v>
      </x:c>
      <x:c r="M148" s="25" t="n">
        <x:v>222900</x:v>
      </x:c>
      <x:c r="N148" s="25" t="n">
        <x:v>0</x:v>
      </x:c>
      <x:c r="O148" s="25" t="n">
        <x:v>0</x:v>
      </x:c>
      <x:c r="P148" s="25" t="n">
        <x:v>0</x:v>
      </x:c>
      <x:c r="Q148" s="25" t="n">
        <x:v>111450</x:v>
      </x:c>
      <x:c r="R148" s="25" t="n">
        <x:v>0</x:v>
      </x:c>
      <x:c r="S148" s="25" t="n">
        <x:f>SUM(H148:R148)</x:f>
        <x:v>334350</x:v>
      </x:c>
    </x:row>
    <x:row r="149">
      <x:c r="A149" s="22" t="str">
        <x:v>Conducteur</x:v>
      </x:c>
      <x:c r="B149" s="22" t="str">
        <x:v>conducteur_renforce</x:v>
      </x:c>
      <x:c r="C149" s="22" t="str">
        <x:v>advanced</x:v>
      </x:c>
      <x:c r="D149" s="25" t="n">
        <x:v>9</x:v>
      </x:c>
      <x:c r="E149" s="25" t="n">
        <x:v>10</x:v>
      </x:c>
      <x:c r="F149" s="25" t="n">
        <x:v>9760868</x:v>
      </x:c>
      <x:c r="G149" s="63" t="n">
        <x:v>49.54911527777778</x:v>
      </x:c>
      <x:c r="H149" s="25" t="n">
        <x:v>0</x:v>
      </x:c>
      <x:c r="I149" s="25" t="n">
        <x:v>0</x:v>
      </x:c>
      <x:c r="J149" s="25" t="n">
        <x:v>0</x:v>
      </x:c>
      <x:c r="K149" s="25" t="n">
        <x:v>0</x:v>
      </x:c>
      <x:c r="L149" s="25" t="n">
        <x:v>0</x:v>
      </x:c>
      <x:c r="M149" s="25" t="n">
        <x:v>297860</x:v>
      </x:c>
      <x:c r="N149" s="25" t="n">
        <x:v>0</x:v>
      </x:c>
      <x:c r="O149" s="25" t="n">
        <x:v>0</x:v>
      </x:c>
      <x:c r="P149" s="25" t="n">
        <x:v>0</x:v>
      </x:c>
      <x:c r="Q149" s="25" t="n">
        <x:v>148930</x:v>
      </x:c>
      <x:c r="R149" s="25" t="n">
        <x:v>0</x:v>
      </x:c>
      <x:c r="S149" s="25" t="n">
        <x:f>SUM(H149:R149)</x:f>
        <x:v>446790</x:v>
      </x:c>
    </x:row>
    <x:row r="150">
      <x:c r="A150" s="22" t="str">
        <x:v>Conducteur</x:v>
      </x:c>
      <x:c r="B150" s="22" t="str">
        <x:v>conducteur_renforce</x:v>
      </x:c>
      <x:c r="C150" s="22" t="str">
        <x:v>advanced</x:v>
      </x:c>
      <x:c r="D150" s="25" t="n">
        <x:v>10</x:v>
      </x:c>
      <x:c r="E150" s="25" t="n">
        <x:v>11</x:v>
      </x:c>
      <x:c r="F150" s="25" t="n">
        <x:v>12692424</x:v>
      </x:c>
      <x:c r="G150" s="63" t="n">
        <x:v>58.704345277777776</x:v>
      </x:c>
      <x:c r="H150" s="25" t="n">
        <x:v>0</x:v>
      </x:c>
      <x:c r="I150" s="25" t="n">
        <x:v>0</x:v>
      </x:c>
      <x:c r="J150" s="25" t="n">
        <x:v>0</x:v>
      </x:c>
      <x:c r="K150" s="25" t="n">
        <x:v>0</x:v>
      </x:c>
      <x:c r="L150" s="25" t="n">
        <x:v>0</x:v>
      </x:c>
      <x:c r="M150" s="25" t="n">
        <x:v>385510</x:v>
      </x:c>
      <x:c r="N150" s="25" t="n">
        <x:v>0</x:v>
      </x:c>
      <x:c r="O150" s="25" t="n">
        <x:v>0</x:v>
      </x:c>
      <x:c r="P150" s="25" t="n">
        <x:v>0</x:v>
      </x:c>
      <x:c r="Q150" s="25" t="n">
        <x:v>192755</x:v>
      </x:c>
      <x:c r="R150" s="25" t="n">
        <x:v>0</x:v>
      </x:c>
      <x:c r="S150" s="25" t="n">
        <x:f>SUM(H150:R150)</x:f>
        <x:v>578265</x:v>
      </x:c>
    </x:row>
    <x:row r="151">
      <x:c r="A151" s="22" t="str">
        <x:v>Conducteur</x:v>
      </x:c>
      <x:c r="B151" s="22" t="str">
        <x:v>conducteur_renforce</x:v>
      </x:c>
      <x:c r="C151" s="22" t="str">
        <x:v>advanced</x:v>
      </x:c>
      <x:c r="D151" s="25" t="n">
        <x:v>11</x:v>
      </x:c>
      <x:c r="E151" s="25" t="n">
        <x:v>12</x:v>
      </x:c>
      <x:c r="F151" s="25" t="n">
        <x:v>16061132</x:v>
      </x:c>
      <x:c r="G151" s="63" t="n">
        <x:v>68.51346277777778</x:v>
      </x:c>
      <x:c r="H151" s="25" t="n">
        <x:v>0</x:v>
      </x:c>
      <x:c r="I151" s="25" t="n">
        <x:v>0</x:v>
      </x:c>
      <x:c r="J151" s="25" t="n">
        <x:v>0</x:v>
      </x:c>
      <x:c r="K151" s="25" t="n">
        <x:v>0</x:v>
      </x:c>
      <x:c r="L151" s="25" t="n">
        <x:v>0</x:v>
      </x:c>
      <x:c r="M151" s="25" t="n">
        <x:v>486240</x:v>
      </x:c>
      <x:c r="N151" s="25" t="n">
        <x:v>0</x:v>
      </x:c>
      <x:c r="O151" s="25" t="n">
        <x:v>0</x:v>
      </x:c>
      <x:c r="P151" s="25" t="n">
        <x:v>0</x:v>
      </x:c>
      <x:c r="Q151" s="25" t="n">
        <x:v>243120</x:v>
      </x:c>
      <x:c r="R151" s="25" t="n">
        <x:v>0</x:v>
      </x:c>
      <x:c r="S151" s="25" t="n">
        <x:f>SUM(H151:R151)</x:f>
        <x:v>729360</x:v>
      </x:c>
    </x:row>
    <x:row r="152">
      <x:c r="A152" s="22" t="str">
        <x:v>Conducteur</x:v>
      </x:c>
      <x:c r="B152" s="22" t="str">
        <x:v>conducteur_renforce</x:v>
      </x:c>
      <x:c r="C152" s="22" t="str">
        <x:v>advanced</x:v>
      </x:c>
      <x:c r="D152" s="25" t="n">
        <x:v>12</x:v>
      </x:c>
      <x:c r="E152" s="25" t="n">
        <x:v>13</x:v>
      </x:c>
      <x:c r="F152" s="25" t="n">
        <x:v>19878677</x:v>
      </x:c>
      <x:c r="G152" s="63" t="n">
        <x:v>78.95074083333333</x:v>
      </x:c>
      <x:c r="H152" s="25" t="n">
        <x:v>0</x:v>
      </x:c>
      <x:c r="I152" s="25" t="n">
        <x:v>0</x:v>
      </x:c>
      <x:c r="J152" s="25" t="n">
        <x:v>0</x:v>
      </x:c>
      <x:c r="K152" s="25" t="n">
        <x:v>0</x:v>
      </x:c>
      <x:c r="L152" s="25" t="n">
        <x:v>0</x:v>
      </x:c>
      <x:c r="M152" s="25" t="n">
        <x:v>600380</x:v>
      </x:c>
      <x:c r="N152" s="25" t="n">
        <x:v>0</x:v>
      </x:c>
      <x:c r="O152" s="25" t="n">
        <x:v>0</x:v>
      </x:c>
      <x:c r="P152" s="25" t="n">
        <x:v>0</x:v>
      </x:c>
      <x:c r="Q152" s="25" t="n">
        <x:v>300190</x:v>
      </x:c>
      <x:c r="R152" s="25" t="n">
        <x:v>0</x:v>
      </x:c>
      <x:c r="S152" s="25" t="n">
        <x:f>SUM(H152:R152)</x:f>
        <x:v>900570</x:v>
      </x:c>
    </x:row>
    <x:row r="153">
      <x:c r="A153" s="22" t="str">
        <x:v>Conducteur</x:v>
      </x:c>
      <x:c r="B153" s="22" t="str">
        <x:v>conducteur_renforce</x:v>
      </x:c>
      <x:c r="C153" s="22" t="str">
        <x:v>advanced</x:v>
      </x:c>
      <x:c r="D153" s="25" t="n">
        <x:v>13</x:v>
      </x:c>
      <x:c r="E153" s="25" t="n">
        <x:v>14</x:v>
      </x:c>
      <x:c r="F153" s="25" t="n">
        <x:v>24155893</x:v>
      </x:c>
      <x:c r="G153" s="63" t="n">
        <x:v>89.99378944444445</x:v>
      </x:c>
      <x:c r="H153" s="25" t="n">
        <x:v>0</x:v>
      </x:c>
      <x:c r="I153" s="25" t="n">
        <x:v>0</x:v>
      </x:c>
      <x:c r="J153" s="25" t="n">
        <x:v>0</x:v>
      </x:c>
      <x:c r="K153" s="25" t="n">
        <x:v>0</x:v>
      </x:c>
      <x:c r="L153" s="25" t="n">
        <x:v>0</x:v>
      </x:c>
      <x:c r="M153" s="25" t="n">
        <x:v>728270</x:v>
      </x:c>
      <x:c r="N153" s="25" t="n">
        <x:v>0</x:v>
      </x:c>
      <x:c r="O153" s="25" t="n">
        <x:v>0</x:v>
      </x:c>
      <x:c r="P153" s="25" t="n">
        <x:v>0</x:v>
      </x:c>
      <x:c r="Q153" s="25" t="n">
        <x:v>364135</x:v>
      </x:c>
      <x:c r="R153" s="25" t="n">
        <x:v>0</x:v>
      </x:c>
      <x:c r="S153" s="25" t="n">
        <x:f>SUM(H153:R153)</x:f>
        <x:v>1092405</x:v>
      </x:c>
    </x:row>
    <x:row r="154">
      <x:c r="A154" s="22" t="str">
        <x:v>Conducteur</x:v>
      </x:c>
      <x:c r="B154" s="22" t="str">
        <x:v>conducteur_renforce</x:v>
      </x:c>
      <x:c r="C154" s="22" t="str">
        <x:v>advanced</x:v>
      </x:c>
      <x:c r="D154" s="25" t="n">
        <x:v>14</x:v>
      </x:c>
      <x:c r="E154" s="25" t="n">
        <x:v>15</x:v>
      </x:c>
      <x:c r="F154" s="25" t="n">
        <x:v>28902901</x:v>
      </x:c>
      <x:c r="G154" s="63" t="n">
        <x:v>101.62287277777777</x:v>
      </x:c>
      <x:c r="H154" s="25" t="n">
        <x:v>0</x:v>
      </x:c>
      <x:c r="I154" s="25" t="n">
        <x:v>0</x:v>
      </x:c>
      <x:c r="J154" s="25" t="n">
        <x:v>0</x:v>
      </x:c>
      <x:c r="K154" s="25" t="n">
        <x:v>0</x:v>
      </x:c>
      <x:c r="L154" s="25" t="n">
        <x:v>0</x:v>
      </x:c>
      <x:c r="M154" s="25" t="n">
        <x:v>870200</x:v>
      </x:c>
      <x:c r="N154" s="25" t="n">
        <x:v>0</x:v>
      </x:c>
      <x:c r="O154" s="25" t="n">
        <x:v>0</x:v>
      </x:c>
      <x:c r="P154" s="25" t="n">
        <x:v>0</x:v>
      </x:c>
      <x:c r="Q154" s="25" t="n">
        <x:v>435100</x:v>
      </x:c>
      <x:c r="R154" s="25" t="n">
        <x:v>0</x:v>
      </x:c>
      <x:c r="S154" s="25" t="n">
        <x:f>SUM(H154:R154)</x:f>
        <x:v>1305300</x:v>
      </x:c>
    </x:row>
    <x:row r="155">
      <x:c r="A155" s="22" t="str">
        <x:v>Conducteur</x:v>
      </x:c>
      <x:c r="B155" s="22" t="str">
        <x:v>conducteur_renforce</x:v>
      </x:c>
      <x:c r="C155" s="22" t="str">
        <x:v>advanced</x:v>
      </x:c>
      <x:c r="D155" s="25" t="n">
        <x:v>15</x:v>
      </x:c>
      <x:c r="E155" s="25" t="n">
        <x:v>16</x:v>
      </x:c>
      <x:c r="F155" s="25" t="n">
        <x:v>34129202</x:v>
      </x:c>
      <x:c r="G155" s="63" t="n">
        <x:v>113.82040888888889</x:v>
      </x:c>
      <x:c r="H155" s="25" t="n">
        <x:v>0</x:v>
      </x:c>
      <x:c r="I155" s="25" t="n">
        <x:v>0</x:v>
      </x:c>
      <x:c r="J155" s="25" t="n">
        <x:v>0</x:v>
      </x:c>
      <x:c r="K155" s="25" t="n">
        <x:v>0</x:v>
      </x:c>
      <x:c r="L155" s="25" t="n">
        <x:v>0</x:v>
      </x:c>
      <x:c r="M155" s="25" t="n">
        <x:v>1026470</x:v>
      </x:c>
      <x:c r="N155" s="25" t="n">
        <x:v>0</x:v>
      </x:c>
      <x:c r="O155" s="25" t="n">
        <x:v>0</x:v>
      </x:c>
      <x:c r="P155" s="25" t="n">
        <x:v>0</x:v>
      </x:c>
      <x:c r="Q155" s="25" t="n">
        <x:v>513235</x:v>
      </x:c>
      <x:c r="R155" s="25" t="n">
        <x:v>0</x:v>
      </x:c>
      <x:c r="S155" s="25" t="n">
        <x:f>SUM(H155:R155)</x:f>
        <x:v>1539705</x:v>
      </x:c>
    </x:row>
    <x:row r="156">
      <x:c r="A156" s="22" t="str">
        <x:v>Conducteur</x:v>
      </x:c>
      <x:c r="B156" s="22" t="str">
        <x:v>conducteur_renforce</x:v>
      </x:c>
      <x:c r="C156" s="22" t="str">
        <x:v>advanced</x:v>
      </x:c>
      <x:c r="D156" s="25" t="n">
        <x:v>16</x:v>
      </x:c>
      <x:c r="E156" s="25" t="n">
        <x:v>17</x:v>
      </x:c>
      <x:c r="F156" s="25" t="n">
        <x:v>39843766</x:v>
      </x:c>
      <x:c r="G156" s="63" t="n">
        <x:v>126.57059277777778</x:v>
      </x:c>
      <x:c r="H156" s="25" t="n">
        <x:v>0</x:v>
      </x:c>
      <x:c r="I156" s="25" t="n">
        <x:v>0</x:v>
      </x:c>
      <x:c r="J156" s="25" t="n">
        <x:v>0</x:v>
      </x:c>
      <x:c r="K156" s="25" t="n">
        <x:v>0</x:v>
      </x:c>
      <x:c r="L156" s="25" t="n">
        <x:v>0</x:v>
      </x:c>
      <x:c r="M156" s="25" t="n">
        <x:v>1197330</x:v>
      </x:c>
      <x:c r="N156" s="25" t="n">
        <x:v>0</x:v>
      </x:c>
      <x:c r="O156" s="25" t="n">
        <x:v>0</x:v>
      </x:c>
      <x:c r="P156" s="25" t="n">
        <x:v>0</x:v>
      </x:c>
      <x:c r="Q156" s="25" t="n">
        <x:v>598665</x:v>
      </x:c>
      <x:c r="R156" s="25" t="n">
        <x:v>0</x:v>
      </x:c>
      <x:c r="S156" s="25" t="n">
        <x:f>SUM(H156:R156)</x:f>
        <x:v>1795995</x:v>
      </x:c>
    </x:row>
    <x:row r="157">
      <x:c r="A157" s="22" t="str">
        <x:v>Conducteur</x:v>
      </x:c>
      <x:c r="B157" s="22" t="str">
        <x:v>conducteur_renforce</x:v>
      </x:c>
      <x:c r="C157" s="22" t="str">
        <x:v>advanced</x:v>
      </x:c>
      <x:c r="D157" s="25" t="n">
        <x:v>17</x:v>
      </x:c>
      <x:c r="E157" s="25" t="n">
        <x:v>18</x:v>
      </x:c>
      <x:c r="F157" s="25" t="n">
        <x:v>46055093</x:v>
      </x:c>
      <x:c r="G157" s="63" t="n">
        <x:v>139.85910833333332</x:v>
      </x:c>
      <x:c r="H157" s="25" t="n">
        <x:v>0</x:v>
      </x:c>
      <x:c r="I157" s="25" t="n">
        <x:v>0</x:v>
      </x:c>
      <x:c r="J157" s="25" t="n">
        <x:v>0</x:v>
      </x:c>
      <x:c r="K157" s="25" t="n">
        <x:v>0</x:v>
      </x:c>
      <x:c r="L157" s="25" t="n">
        <x:v>0</x:v>
      </x:c>
      <x:c r="M157" s="25" t="n">
        <x:v>1383050</x:v>
      </x:c>
      <x:c r="N157" s="25" t="n">
        <x:v>0</x:v>
      </x:c>
      <x:c r="O157" s="25" t="n">
        <x:v>0</x:v>
      </x:c>
      <x:c r="P157" s="25" t="n">
        <x:v>0</x:v>
      </x:c>
      <x:c r="Q157" s="25" t="n">
        <x:v>691525</x:v>
      </x:c>
      <x:c r="R157" s="25" t="n">
        <x:v>0</x:v>
      </x:c>
      <x:c r="S157" s="25" t="n">
        <x:f>SUM(H157:R157)</x:f>
        <x:v>2074575</x:v>
      </x:c>
    </x:row>
    <x:row r="158">
      <x:c r="A158" s="22" t="str">
        <x:v>Conducteur</x:v>
      </x:c>
      <x:c r="B158" s="22" t="str">
        <x:v>conducteur_renforce</x:v>
      </x:c>
      <x:c r="C158" s="22" t="str">
        <x:v>advanced</x:v>
      </x:c>
      <x:c r="D158" s="25" t="n">
        <x:v>18</x:v>
      </x:c>
      <x:c r="E158" s="25" t="n">
        <x:v>19</x:v>
      </x:c>
      <x:c r="F158" s="25" t="n">
        <x:v>52771266</x:v>
      </x:c>
      <x:c r="G158" s="63" t="n">
        <x:v>153.67290166666666</x:v>
      </x:c>
      <x:c r="H158" s="25" t="n">
        <x:v>0</x:v>
      </x:c>
      <x:c r="I158" s="25" t="n">
        <x:v>0</x:v>
      </x:c>
      <x:c r="J158" s="25" t="n">
        <x:v>0</x:v>
      </x:c>
      <x:c r="K158" s="25" t="n">
        <x:v>0</x:v>
      </x:c>
      <x:c r="L158" s="25" t="n">
        <x:v>0</x:v>
      </x:c>
      <x:c r="M158" s="25" t="n">
        <x:v>1583860</x:v>
      </x:c>
      <x:c r="N158" s="25" t="n">
        <x:v>0</x:v>
      </x:c>
      <x:c r="O158" s="25" t="n">
        <x:v>0</x:v>
      </x:c>
      <x:c r="P158" s="25" t="n">
        <x:v>0</x:v>
      </x:c>
      <x:c r="Q158" s="25" t="n">
        <x:v>791930</x:v>
      </x:c>
      <x:c r="R158" s="25" t="n">
        <x:v>0</x:v>
      </x:c>
      <x:c r="S158" s="25" t="n">
        <x:f>SUM(H158:R158)</x:f>
        <x:v>2375790</x:v>
      </x:c>
    </x:row>
    <x:row r="159">
      <x:c r="A159" s="22" t="str">
        <x:v>Conducteur</x:v>
      </x:c>
      <x:c r="B159" s="22" t="str">
        <x:v>conducteur_renforce</x:v>
      </x:c>
      <x:c r="C159" s="22" t="str">
        <x:v>advanced</x:v>
      </x:c>
      <x:c r="D159" s="25" t="n">
        <x:v>19</x:v>
      </x:c>
      <x:c r="E159" s="25" t="n">
        <x:v>20</x:v>
      </x:c>
      <x:c r="F159" s="25" t="n">
        <x:v>60000000</x:v>
      </x:c>
      <x:c r="G159" s="63" t="n">
        <x:v>168</x:v>
      </x:c>
      <x:c r="H159" s="25" t="n">
        <x:v>0</x:v>
      </x:c>
      <x:c r="I159" s="25" t="n">
        <x:v>0</x:v>
      </x:c>
      <x:c r="J159" s="25" t="n">
        <x:v>0</x:v>
      </x:c>
      <x:c r="K159" s="25" t="n">
        <x:v>0</x:v>
      </x:c>
      <x:c r="L159" s="25" t="n">
        <x:v>0</x:v>
      </x:c>
      <x:c r="M159" s="25" t="n">
        <x:v>1800000</x:v>
      </x:c>
      <x:c r="N159" s="25" t="n">
        <x:v>0</x:v>
      </x:c>
      <x:c r="O159" s="25" t="n">
        <x:v>0</x:v>
      </x:c>
      <x:c r="P159" s="25" t="n">
        <x:v>0</x:v>
      </x:c>
      <x:c r="Q159" s="25" t="n">
        <x:v>900000</x:v>
      </x:c>
      <x:c r="R159" s="25" t="n">
        <x:v>0</x:v>
      </x:c>
      <x:c r="S159" s="25" t="n">
        <x:f>SUM(H159:R159)</x:f>
        <x:v>2700000</x:v>
      </x:c>
    </x:row>
    <x:row r="160">
      <x:c r="A160" s="22" t="str">
        <x:v>Blindage</x:v>
      </x:c>
      <x:c r="B160" s="22" t="str">
        <x:v>blindage_composite</x:v>
      </x:c>
      <x:c r="C160" s="22" t="str">
        <x:v>advanced</x:v>
      </x:c>
      <x:c r="D160" s="25" t="n">
        <x:v>0</x:v>
      </x:c>
      <x:c r="E160" s="25" t="n">
        <x:v>1</x:v>
      </x:c>
      <x:c r="F160" s="25" t="n">
        <x:v>100000</x:v>
      </x:c>
      <x:c r="G160" s="63" t="n">
        <x:v>6</x:v>
      </x:c>
      <x:c r="H160" s="25" t="n">
        <x:v>0</x:v>
      </x:c>
      <x:c r="I160" s="25" t="n">
        <x:v>0</x:v>
      </x:c>
      <x:c r="J160" s="25" t="n">
        <x:v>0</x:v>
      </x:c>
      <x:c r="K160" s="25" t="n">
        <x:v>0</x:v>
      </x:c>
      <x:c r="L160" s="25" t="n">
        <x:v>0</x:v>
      </x:c>
      <x:c r="M160" s="25" t="n">
        <x:v>0</x:v>
      </x:c>
      <x:c r="N160" s="25" t="n">
        <x:v>9000</x:v>
      </x:c>
      <x:c r="O160" s="25" t="n">
        <x:v>0</x:v>
      </x:c>
      <x:c r="P160" s="25" t="n">
        <x:v>0</x:v>
      </x:c>
      <x:c r="Q160" s="25" t="n">
        <x:v>4500</x:v>
      </x:c>
      <x:c r="R160" s="25" t="n">
        <x:v>0</x:v>
      </x:c>
      <x:c r="S160" s="25" t="n">
        <x:f>SUM(H160:R160)</x:f>
        <x:v>13500</x:v>
      </x:c>
    </x:row>
    <x:row r="161">
      <x:c r="A161" s="22" t="str">
        <x:v>Blindage</x:v>
      </x:c>
      <x:c r="B161" s="22" t="str">
        <x:v>blindage_composite</x:v>
      </x:c>
      <x:c r="C161" s="22" t="str">
        <x:v>advanced</x:v>
      </x:c>
      <x:c r="D161" s="25" t="n">
        <x:v>1</x:v>
      </x:c>
      <x:c r="E161" s="25" t="n">
        <x:v>2</x:v>
      </x:c>
      <x:c r="F161" s="25" t="n">
        <x:v>100000</x:v>
      </x:c>
      <x:c r="G161" s="63" t="n">
        <x:v>6</x:v>
      </x:c>
      <x:c r="H161" s="25" t="n">
        <x:v>0</x:v>
      </x:c>
      <x:c r="I161" s="25" t="n">
        <x:v>0</x:v>
      </x:c>
      <x:c r="J161" s="25" t="n">
        <x:v>0</x:v>
      </x:c>
      <x:c r="K161" s="25" t="n">
        <x:v>0</x:v>
      </x:c>
      <x:c r="L161" s="25" t="n">
        <x:v>0</x:v>
      </x:c>
      <x:c r="M161" s="25" t="n">
        <x:v>0</x:v>
      </x:c>
      <x:c r="N161" s="25" t="n">
        <x:v>9000</x:v>
      </x:c>
      <x:c r="O161" s="25" t="n">
        <x:v>0</x:v>
      </x:c>
      <x:c r="P161" s="25" t="n">
        <x:v>0</x:v>
      </x:c>
      <x:c r="Q161" s="25" t="n">
        <x:v>4500</x:v>
      </x:c>
      <x:c r="R161" s="25" t="n">
        <x:v>0</x:v>
      </x:c>
      <x:c r="S161" s="25" t="n">
        <x:f>SUM(H161:R161)</x:f>
        <x:v>13500</x:v>
      </x:c>
    </x:row>
    <x:row r="162">
      <x:c r="A162" s="22" t="str">
        <x:v>Blindage</x:v>
      </x:c>
      <x:c r="B162" s="22" t="str">
        <x:v>blindage_composite</x:v>
      </x:c>
      <x:c r="C162" s="22" t="str">
        <x:v>advanced</x:v>
      </x:c>
      <x:c r="D162" s="25" t="n">
        <x:v>2</x:v>
      </x:c>
      <x:c r="E162" s="25" t="n">
        <x:v>3</x:v>
      </x:c>
      <x:c r="F162" s="25" t="n">
        <x:v>189756</x:v>
      </x:c>
      <x:c r="G162" s="63" t="n">
        <x:v>7.499593611111111</x:v>
      </x:c>
      <x:c r="H162" s="25" t="n">
        <x:v>0</x:v>
      </x:c>
      <x:c r="I162" s="25" t="n">
        <x:v>0</x:v>
      </x:c>
      <x:c r="J162" s="25" t="n">
        <x:v>0</x:v>
      </x:c>
      <x:c r="K162" s="25" t="n">
        <x:v>0</x:v>
      </x:c>
      <x:c r="L162" s="25" t="n">
        <x:v>0</x:v>
      </x:c>
      <x:c r="M162" s="25" t="n">
        <x:v>0</x:v>
      </x:c>
      <x:c r="N162" s="25" t="n">
        <x:v>11680</x:v>
      </x:c>
      <x:c r="O162" s="25" t="n">
        <x:v>0</x:v>
      </x:c>
      <x:c r="P162" s="25" t="n">
        <x:v>0</x:v>
      </x:c>
      <x:c r="Q162" s="25" t="n">
        <x:v>5840</x:v>
      </x:c>
      <x:c r="R162" s="25" t="n">
        <x:v>0</x:v>
      </x:c>
      <x:c r="S162" s="25" t="n">
        <x:f>SUM(H162:R162)</x:f>
        <x:v>17520</x:v>
      </x:c>
    </x:row>
    <x:row r="163">
      <x:c r="A163" s="22" t="str">
        <x:v>Blindage</x:v>
      </x:c>
      <x:c r="B163" s="22" t="str">
        <x:v>blindage_composite</x:v>
      </x:c>
      <x:c r="C163" s="22" t="str">
        <x:v>advanced</x:v>
      </x:c>
      <x:c r="D163" s="25" t="n">
        <x:v>3</x:v>
      </x:c>
      <x:c r="E163" s="25" t="n">
        <x:v>4</x:v>
      </x:c>
      <x:c r="F163" s="25" t="n">
        <x:v>526954</x:v>
      </x:c>
      <x:c r="G163" s="63" t="n">
        <x:v>10.60937611111111</x:v>
      </x:c>
      <x:c r="H163" s="25" t="n">
        <x:v>0</x:v>
      </x:c>
      <x:c r="I163" s="25" t="n">
        <x:v>0</x:v>
      </x:c>
      <x:c r="J163" s="25" t="n">
        <x:v>0</x:v>
      </x:c>
      <x:c r="K163" s="25" t="n">
        <x:v>0</x:v>
      </x:c>
      <x:c r="L163" s="25" t="n">
        <x:v>0</x:v>
      </x:c>
      <x:c r="M163" s="25" t="n">
        <x:v>0</x:v>
      </x:c>
      <x:c r="N163" s="25" t="n">
        <x:v>21770</x:v>
      </x:c>
      <x:c r="O163" s="25" t="n">
        <x:v>0</x:v>
      </x:c>
      <x:c r="P163" s="25" t="n">
        <x:v>0</x:v>
      </x:c>
      <x:c r="Q163" s="25" t="n">
        <x:v>10885</x:v>
      </x:c>
      <x:c r="R163" s="25" t="n">
        <x:v>0</x:v>
      </x:c>
      <x:c r="S163" s="25" t="n">
        <x:f>SUM(H163:R163)</x:f>
        <x:v>32655</x:v>
      </x:c>
    </x:row>
    <x:row r="164">
      <x:c r="A164" s="22" t="str">
        <x:v>Blindage</x:v>
      </x:c>
      <x:c r="B164" s="22" t="str">
        <x:v>blindage_composite</x:v>
      </x:c>
      <x:c r="C164" s="22" t="str">
        <x:v>advanced</x:v>
      </x:c>
      <x:c r="D164" s="25" t="n">
        <x:v>4</x:v>
      </x:c>
      <x:c r="E164" s="25" t="n">
        <x:v>5</x:v>
      </x:c>
      <x:c r="F164" s="25" t="n">
        <x:v>1163130</x:v>
      </x:c>
      <x:c r="G164" s="63" t="n">
        <x:v>14.890168333333333</x:v>
      </x:c>
      <x:c r="H164" s="25" t="n">
        <x:v>0</x:v>
      </x:c>
      <x:c r="I164" s="25" t="n">
        <x:v>0</x:v>
      </x:c>
      <x:c r="J164" s="25" t="n">
        <x:v>0</x:v>
      </x:c>
      <x:c r="K164" s="25" t="n">
        <x:v>0</x:v>
      </x:c>
      <x:c r="L164" s="25" t="n">
        <x:v>0</x:v>
      </x:c>
      <x:c r="M164" s="25" t="n">
        <x:v>0</x:v>
      </x:c>
      <x:c r="N164" s="25" t="n">
        <x:v>40790</x:v>
      </x:c>
      <x:c r="O164" s="25" t="n">
        <x:v>0</x:v>
      </x:c>
      <x:c r="P164" s="25" t="n">
        <x:v>0</x:v>
      </x:c>
      <x:c r="Q164" s="25" t="n">
        <x:v>20395</x:v>
      </x:c>
      <x:c r="R164" s="25" t="n">
        <x:v>0</x:v>
      </x:c>
      <x:c r="S164" s="25" t="n">
        <x:f>SUM(H164:R164)</x:f>
        <x:v>61185</x:v>
      </x:c>
    </x:row>
    <x:row r="165">
      <x:c r="A165" s="22" t="str">
        <x:v>Blindage</x:v>
      </x:c>
      <x:c r="B165" s="22" t="str">
        <x:v>blindage_composite</x:v>
      </x:c>
      <x:c r="C165" s="22" t="str">
        <x:v>advanced</x:v>
      </x:c>
      <x:c r="D165" s="25" t="n">
        <x:v>5</x:v>
      </x:c>
      <x:c r="E165" s="25" t="n">
        <x:v>6</x:v>
      </x:c>
      <x:c r="F165" s="25" t="n">
        <x:v>2130947</x:v>
      </x:c>
      <x:c r="G165" s="63" t="n">
        <x:v>20.168071666666666</x:v>
      </x:c>
      <x:c r="H165" s="25" t="n">
        <x:v>0</x:v>
      </x:c>
      <x:c r="I165" s="25" t="n">
        <x:v>0</x:v>
      </x:c>
      <x:c r="J165" s="25" t="n">
        <x:v>0</x:v>
      </x:c>
      <x:c r="K165" s="25" t="n">
        <x:v>0</x:v>
      </x:c>
      <x:c r="L165" s="25" t="n">
        <x:v>0</x:v>
      </x:c>
      <x:c r="M165" s="25" t="n">
        <x:v>0</x:v>
      </x:c>
      <x:c r="N165" s="25" t="n">
        <x:v>69720</x:v>
      </x:c>
      <x:c r="O165" s="25" t="n">
        <x:v>0</x:v>
      </x:c>
      <x:c r="P165" s="25" t="n">
        <x:v>0</x:v>
      </x:c>
      <x:c r="Q165" s="25" t="n">
        <x:v>34860</x:v>
      </x:c>
      <x:c r="R165" s="25" t="n">
        <x:v>0</x:v>
      </x:c>
      <x:c r="S165" s="25" t="n">
        <x:f>SUM(H165:R165)</x:f>
        <x:v>104580</x:v>
      </x:c>
    </x:row>
    <x:row r="166">
      <x:c r="A166" s="22" t="str">
        <x:v>Blindage</x:v>
      </x:c>
      <x:c r="B166" s="22" t="str">
        <x:v>blindage_composite</x:v>
      </x:c>
      <x:c r="C166" s="22" t="str">
        <x:v>advanced</x:v>
      </x:c>
      <x:c r="D166" s="25" t="n">
        <x:v>6</x:v>
      </x:c>
      <x:c r="E166" s="25" t="n">
        <x:v>7</x:v>
      </x:c>
      <x:c r="F166" s="25" t="n">
        <x:v>3455415</x:v>
      </x:c>
      <x:c r="G166" s="63" t="n">
        <x:v>26.337846388888888</x:v>
      </x:c>
      <x:c r="H166" s="25" t="n">
        <x:v>0</x:v>
      </x:c>
      <x:c r="I166" s="25" t="n">
        <x:v>0</x:v>
      </x:c>
      <x:c r="J166" s="25" t="n">
        <x:v>0</x:v>
      </x:c>
      <x:c r="K166" s="25" t="n">
        <x:v>0</x:v>
      </x:c>
      <x:c r="L166" s="25" t="n">
        <x:v>0</x:v>
      </x:c>
      <x:c r="M166" s="25" t="n">
        <x:v>0</x:v>
      </x:c>
      <x:c r="N166" s="25" t="n">
        <x:v>109330</x:v>
      </x:c>
      <x:c r="O166" s="25" t="n">
        <x:v>0</x:v>
      </x:c>
      <x:c r="P166" s="25" t="n">
        <x:v>0</x:v>
      </x:c>
      <x:c r="Q166" s="25" t="n">
        <x:v>54665</x:v>
      </x:c>
      <x:c r="R166" s="25" t="n">
        <x:v>0</x:v>
      </x:c>
      <x:c r="S166" s="25" t="n">
        <x:f>SUM(H166:R166)</x:f>
        <x:v>163995</x:v>
      </x:c>
    </x:row>
    <x:row r="167">
      <x:c r="A167" s="22" t="str">
        <x:v>Blindage</x:v>
      </x:c>
      <x:c r="B167" s="22" t="str">
        <x:v>blindage_composite</x:v>
      </x:c>
      <x:c r="C167" s="22" t="str">
        <x:v>advanced</x:v>
      </x:c>
      <x:c r="D167" s="25" t="n">
        <x:v>7</x:v>
      </x:c>
      <x:c r="E167" s="25" t="n">
        <x:v>8</x:v>
      </x:c>
      <x:c r="F167" s="25" t="n">
        <x:v>5157129</x:v>
      </x:c>
      <x:c r="G167" s="63" t="n">
        <x:v>33.32615833333333</x:v>
      </x:c>
      <x:c r="H167" s="25" t="n">
        <x:v>0</x:v>
      </x:c>
      <x:c r="I167" s="25" t="n">
        <x:v>0</x:v>
      </x:c>
      <x:c r="J167" s="25" t="n">
        <x:v>0</x:v>
      </x:c>
      <x:c r="K167" s="25" t="n">
        <x:v>0</x:v>
      </x:c>
      <x:c r="L167" s="25" t="n">
        <x:v>0</x:v>
      </x:c>
      <x:c r="M167" s="25" t="n">
        <x:v>0</x:v>
      </x:c>
      <x:c r="N167" s="25" t="n">
        <x:v>160210</x:v>
      </x:c>
      <x:c r="O167" s="25" t="n">
        <x:v>0</x:v>
      </x:c>
      <x:c r="P167" s="25" t="n">
        <x:v>0</x:v>
      </x:c>
      <x:c r="Q167" s="25" t="n">
        <x:v>80105</x:v>
      </x:c>
      <x:c r="R167" s="25" t="n">
        <x:v>0</x:v>
      </x:c>
      <x:c r="S167" s="25" t="n">
        <x:f>SUM(H167:R167)</x:f>
        <x:v>240315</x:v>
      </x:c>
    </x:row>
    <x:row r="168">
      <x:c r="A168" s="22" t="str">
        <x:v>Blindage</x:v>
      </x:c>
      <x:c r="B168" s="22" t="str">
        <x:v>blindage_composite</x:v>
      </x:c>
      <x:c r="C168" s="22" t="str">
        <x:v>advanced</x:v>
      </x:c>
      <x:c r="D168" s="25" t="n">
        <x:v>8</x:v>
      </x:c>
      <x:c r="E168" s="25" t="n">
        <x:v>9</x:v>
      </x:c>
      <x:c r="F168" s="25" t="n">
        <x:v>7253759</x:v>
      </x:c>
      <x:c r="G168" s="63" t="n">
        <x:v>41.07780277777778</x:v>
      </x:c>
      <x:c r="H168" s="25" t="n">
        <x:v>0</x:v>
      </x:c>
      <x:c r="I168" s="25" t="n">
        <x:v>0</x:v>
      </x:c>
      <x:c r="J168" s="25" t="n">
        <x:v>0</x:v>
      </x:c>
      <x:c r="K168" s="25" t="n">
        <x:v>0</x:v>
      </x:c>
      <x:c r="L168" s="25" t="n">
        <x:v>0</x:v>
      </x:c>
      <x:c r="M168" s="25" t="n">
        <x:v>0</x:v>
      </x:c>
      <x:c r="N168" s="25" t="n">
        <x:v>222900</x:v>
      </x:c>
      <x:c r="O168" s="25" t="n">
        <x:v>0</x:v>
      </x:c>
      <x:c r="P168" s="25" t="n">
        <x:v>0</x:v>
      </x:c>
      <x:c r="Q168" s="25" t="n">
        <x:v>111450</x:v>
      </x:c>
      <x:c r="R168" s="25" t="n">
        <x:v>0</x:v>
      </x:c>
      <x:c r="S168" s="25" t="n">
        <x:f>SUM(H168:R168)</x:f>
        <x:v>334350</x:v>
      </x:c>
    </x:row>
    <x:row r="169">
      <x:c r="A169" s="22" t="str">
        <x:v>Blindage</x:v>
      </x:c>
      <x:c r="B169" s="22" t="str">
        <x:v>blindage_composite</x:v>
      </x:c>
      <x:c r="C169" s="22" t="str">
        <x:v>advanced</x:v>
      </x:c>
      <x:c r="D169" s="25" t="n">
        <x:v>9</x:v>
      </x:c>
      <x:c r="E169" s="25" t="n">
        <x:v>10</x:v>
      </x:c>
      <x:c r="F169" s="25" t="n">
        <x:v>9760868</x:v>
      </x:c>
      <x:c r="G169" s="63" t="n">
        <x:v>49.54911527777778</x:v>
      </x:c>
      <x:c r="H169" s="25" t="n">
        <x:v>0</x:v>
      </x:c>
      <x:c r="I169" s="25" t="n">
        <x:v>0</x:v>
      </x:c>
      <x:c r="J169" s="25" t="n">
        <x:v>0</x:v>
      </x:c>
      <x:c r="K169" s="25" t="n">
        <x:v>0</x:v>
      </x:c>
      <x:c r="L169" s="25" t="n">
        <x:v>0</x:v>
      </x:c>
      <x:c r="M169" s="25" t="n">
        <x:v>0</x:v>
      </x:c>
      <x:c r="N169" s="25" t="n">
        <x:v>297860</x:v>
      </x:c>
      <x:c r="O169" s="25" t="n">
        <x:v>0</x:v>
      </x:c>
      <x:c r="P169" s="25" t="n">
        <x:v>0</x:v>
      </x:c>
      <x:c r="Q169" s="25" t="n">
        <x:v>148930</x:v>
      </x:c>
      <x:c r="R169" s="25" t="n">
        <x:v>0</x:v>
      </x:c>
      <x:c r="S169" s="25" t="n">
        <x:f>SUM(H169:R169)</x:f>
        <x:v>446790</x:v>
      </x:c>
    </x:row>
    <x:row r="170">
      <x:c r="A170" s="22" t="str">
        <x:v>Blindage</x:v>
      </x:c>
      <x:c r="B170" s="22" t="str">
        <x:v>blindage_composite</x:v>
      </x:c>
      <x:c r="C170" s="22" t="str">
        <x:v>advanced</x:v>
      </x:c>
      <x:c r="D170" s="25" t="n">
        <x:v>10</x:v>
      </x:c>
      <x:c r="E170" s="25" t="n">
        <x:v>11</x:v>
      </x:c>
      <x:c r="F170" s="25" t="n">
        <x:v>12692424</x:v>
      </x:c>
      <x:c r="G170" s="63" t="n">
        <x:v>58.704345277777776</x:v>
      </x:c>
      <x:c r="H170" s="25" t="n">
        <x:v>0</x:v>
      </x:c>
      <x:c r="I170" s="25" t="n">
        <x:v>0</x:v>
      </x:c>
      <x:c r="J170" s="25" t="n">
        <x:v>0</x:v>
      </x:c>
      <x:c r="K170" s="25" t="n">
        <x:v>0</x:v>
      </x:c>
      <x:c r="L170" s="25" t="n">
        <x:v>0</x:v>
      </x:c>
      <x:c r="M170" s="25" t="n">
        <x:v>0</x:v>
      </x:c>
      <x:c r="N170" s="25" t="n">
        <x:v>385510</x:v>
      </x:c>
      <x:c r="O170" s="25" t="n">
        <x:v>0</x:v>
      </x:c>
      <x:c r="P170" s="25" t="n">
        <x:v>0</x:v>
      </x:c>
      <x:c r="Q170" s="25" t="n">
        <x:v>192755</x:v>
      </x:c>
      <x:c r="R170" s="25" t="n">
        <x:v>0</x:v>
      </x:c>
      <x:c r="S170" s="25" t="n">
        <x:f>SUM(H170:R170)</x:f>
        <x:v>578265</x:v>
      </x:c>
    </x:row>
    <x:row r="171">
      <x:c r="A171" s="22" t="str">
        <x:v>Blindage</x:v>
      </x:c>
      <x:c r="B171" s="22" t="str">
        <x:v>blindage_composite</x:v>
      </x:c>
      <x:c r="C171" s="22" t="str">
        <x:v>advanced</x:v>
      </x:c>
      <x:c r="D171" s="25" t="n">
        <x:v>11</x:v>
      </x:c>
      <x:c r="E171" s="25" t="n">
        <x:v>12</x:v>
      </x:c>
      <x:c r="F171" s="25" t="n">
        <x:v>16061132</x:v>
      </x:c>
      <x:c r="G171" s="63" t="n">
        <x:v>68.51346277777778</x:v>
      </x:c>
      <x:c r="H171" s="25" t="n">
        <x:v>0</x:v>
      </x:c>
      <x:c r="I171" s="25" t="n">
        <x:v>0</x:v>
      </x:c>
      <x:c r="J171" s="25" t="n">
        <x:v>0</x:v>
      </x:c>
      <x:c r="K171" s="25" t="n">
        <x:v>0</x:v>
      </x:c>
      <x:c r="L171" s="25" t="n">
        <x:v>0</x:v>
      </x:c>
      <x:c r="M171" s="25" t="n">
        <x:v>0</x:v>
      </x:c>
      <x:c r="N171" s="25" t="n">
        <x:v>486240</x:v>
      </x:c>
      <x:c r="O171" s="25" t="n">
        <x:v>0</x:v>
      </x:c>
      <x:c r="P171" s="25" t="n">
        <x:v>0</x:v>
      </x:c>
      <x:c r="Q171" s="25" t="n">
        <x:v>243120</x:v>
      </x:c>
      <x:c r="R171" s="25" t="n">
        <x:v>0</x:v>
      </x:c>
      <x:c r="S171" s="25" t="n">
        <x:f>SUM(H171:R171)</x:f>
        <x:v>729360</x:v>
      </x:c>
    </x:row>
    <x:row r="172">
      <x:c r="A172" s="22" t="str">
        <x:v>Blindage</x:v>
      </x:c>
      <x:c r="B172" s="22" t="str">
        <x:v>blindage_composite</x:v>
      </x:c>
      <x:c r="C172" s="22" t="str">
        <x:v>advanced</x:v>
      </x:c>
      <x:c r="D172" s="25" t="n">
        <x:v>12</x:v>
      </x:c>
      <x:c r="E172" s="25" t="n">
        <x:v>13</x:v>
      </x:c>
      <x:c r="F172" s="25" t="n">
        <x:v>19878677</x:v>
      </x:c>
      <x:c r="G172" s="63" t="n">
        <x:v>78.95074083333333</x:v>
      </x:c>
      <x:c r="H172" s="25" t="n">
        <x:v>0</x:v>
      </x:c>
      <x:c r="I172" s="25" t="n">
        <x:v>0</x:v>
      </x:c>
      <x:c r="J172" s="25" t="n">
        <x:v>0</x:v>
      </x:c>
      <x:c r="K172" s="25" t="n">
        <x:v>0</x:v>
      </x:c>
      <x:c r="L172" s="25" t="n">
        <x:v>0</x:v>
      </x:c>
      <x:c r="M172" s="25" t="n">
        <x:v>0</x:v>
      </x:c>
      <x:c r="N172" s="25" t="n">
        <x:v>600380</x:v>
      </x:c>
      <x:c r="O172" s="25" t="n">
        <x:v>0</x:v>
      </x:c>
      <x:c r="P172" s="25" t="n">
        <x:v>0</x:v>
      </x:c>
      <x:c r="Q172" s="25" t="n">
        <x:v>300190</x:v>
      </x:c>
      <x:c r="R172" s="25" t="n">
        <x:v>0</x:v>
      </x:c>
      <x:c r="S172" s="25" t="n">
        <x:f>SUM(H172:R172)</x:f>
        <x:v>900570</x:v>
      </x:c>
    </x:row>
    <x:row r="173">
      <x:c r="A173" s="22" t="str">
        <x:v>Blindage</x:v>
      </x:c>
      <x:c r="B173" s="22" t="str">
        <x:v>blindage_composite</x:v>
      </x:c>
      <x:c r="C173" s="22" t="str">
        <x:v>advanced</x:v>
      </x:c>
      <x:c r="D173" s="25" t="n">
        <x:v>13</x:v>
      </x:c>
      <x:c r="E173" s="25" t="n">
        <x:v>14</x:v>
      </x:c>
      <x:c r="F173" s="25" t="n">
        <x:v>24155893</x:v>
      </x:c>
      <x:c r="G173" s="63" t="n">
        <x:v>89.99378944444445</x:v>
      </x:c>
      <x:c r="H173" s="25" t="n">
        <x:v>0</x:v>
      </x:c>
      <x:c r="I173" s="25" t="n">
        <x:v>0</x:v>
      </x:c>
      <x:c r="J173" s="25" t="n">
        <x:v>0</x:v>
      </x:c>
      <x:c r="K173" s="25" t="n">
        <x:v>0</x:v>
      </x:c>
      <x:c r="L173" s="25" t="n">
        <x:v>0</x:v>
      </x:c>
      <x:c r="M173" s="25" t="n">
        <x:v>0</x:v>
      </x:c>
      <x:c r="N173" s="25" t="n">
        <x:v>728270</x:v>
      </x:c>
      <x:c r="O173" s="25" t="n">
        <x:v>0</x:v>
      </x:c>
      <x:c r="P173" s="25" t="n">
        <x:v>0</x:v>
      </x:c>
      <x:c r="Q173" s="25" t="n">
        <x:v>364135</x:v>
      </x:c>
      <x:c r="R173" s="25" t="n">
        <x:v>0</x:v>
      </x:c>
      <x:c r="S173" s="25" t="n">
        <x:f>SUM(H173:R173)</x:f>
        <x:v>1092405</x:v>
      </x:c>
    </x:row>
    <x:row r="174">
      <x:c r="A174" s="22" t="str">
        <x:v>Blindage</x:v>
      </x:c>
      <x:c r="B174" s="22" t="str">
        <x:v>blindage_composite</x:v>
      </x:c>
      <x:c r="C174" s="22" t="str">
        <x:v>advanced</x:v>
      </x:c>
      <x:c r="D174" s="25" t="n">
        <x:v>14</x:v>
      </x:c>
      <x:c r="E174" s="25" t="n">
        <x:v>15</x:v>
      </x:c>
      <x:c r="F174" s="25" t="n">
        <x:v>28902901</x:v>
      </x:c>
      <x:c r="G174" s="63" t="n">
        <x:v>101.62287277777777</x:v>
      </x:c>
      <x:c r="H174" s="25" t="n">
        <x:v>0</x:v>
      </x:c>
      <x:c r="I174" s="25" t="n">
        <x:v>0</x:v>
      </x:c>
      <x:c r="J174" s="25" t="n">
        <x:v>0</x:v>
      </x:c>
      <x:c r="K174" s="25" t="n">
        <x:v>0</x:v>
      </x:c>
      <x:c r="L174" s="25" t="n">
        <x:v>0</x:v>
      </x:c>
      <x:c r="M174" s="25" t="n">
        <x:v>0</x:v>
      </x:c>
      <x:c r="N174" s="25" t="n">
        <x:v>870200</x:v>
      </x:c>
      <x:c r="O174" s="25" t="n">
        <x:v>0</x:v>
      </x:c>
      <x:c r="P174" s="25" t="n">
        <x:v>0</x:v>
      </x:c>
      <x:c r="Q174" s="25" t="n">
        <x:v>435100</x:v>
      </x:c>
      <x:c r="R174" s="25" t="n">
        <x:v>0</x:v>
      </x:c>
      <x:c r="S174" s="25" t="n">
        <x:f>SUM(H174:R174)</x:f>
        <x:v>1305300</x:v>
      </x:c>
    </x:row>
    <x:row r="175">
      <x:c r="A175" s="22" t="str">
        <x:v>Blindage</x:v>
      </x:c>
      <x:c r="B175" s="22" t="str">
        <x:v>blindage_composite</x:v>
      </x:c>
      <x:c r="C175" s="22" t="str">
        <x:v>advanced</x:v>
      </x:c>
      <x:c r="D175" s="25" t="n">
        <x:v>15</x:v>
      </x:c>
      <x:c r="E175" s="25" t="n">
        <x:v>16</x:v>
      </x:c>
      <x:c r="F175" s="25" t="n">
        <x:v>34129202</x:v>
      </x:c>
      <x:c r="G175" s="63" t="n">
        <x:v>113.82040888888889</x:v>
      </x:c>
      <x:c r="H175" s="25" t="n">
        <x:v>0</x:v>
      </x:c>
      <x:c r="I175" s="25" t="n">
        <x:v>0</x:v>
      </x:c>
      <x:c r="J175" s="25" t="n">
        <x:v>0</x:v>
      </x:c>
      <x:c r="K175" s="25" t="n">
        <x:v>0</x:v>
      </x:c>
      <x:c r="L175" s="25" t="n">
        <x:v>0</x:v>
      </x:c>
      <x:c r="M175" s="25" t="n">
        <x:v>0</x:v>
      </x:c>
      <x:c r="N175" s="25" t="n">
        <x:v>1026470</x:v>
      </x:c>
      <x:c r="O175" s="25" t="n">
        <x:v>0</x:v>
      </x:c>
      <x:c r="P175" s="25" t="n">
        <x:v>0</x:v>
      </x:c>
      <x:c r="Q175" s="25" t="n">
        <x:v>513235</x:v>
      </x:c>
      <x:c r="R175" s="25" t="n">
        <x:v>0</x:v>
      </x:c>
      <x:c r="S175" s="25" t="n">
        <x:f>SUM(H175:R175)</x:f>
        <x:v>1539705</x:v>
      </x:c>
    </x:row>
    <x:row r="176">
      <x:c r="A176" s="22" t="str">
        <x:v>Blindage</x:v>
      </x:c>
      <x:c r="B176" s="22" t="str">
        <x:v>blindage_composite</x:v>
      </x:c>
      <x:c r="C176" s="22" t="str">
        <x:v>advanced</x:v>
      </x:c>
      <x:c r="D176" s="25" t="n">
        <x:v>16</x:v>
      </x:c>
      <x:c r="E176" s="25" t="n">
        <x:v>17</x:v>
      </x:c>
      <x:c r="F176" s="25" t="n">
        <x:v>39843766</x:v>
      </x:c>
      <x:c r="G176" s="63" t="n">
        <x:v>126.57059277777778</x:v>
      </x:c>
      <x:c r="H176" s="25" t="n">
        <x:v>0</x:v>
      </x:c>
      <x:c r="I176" s="25" t="n">
        <x:v>0</x:v>
      </x:c>
      <x:c r="J176" s="25" t="n">
        <x:v>0</x:v>
      </x:c>
      <x:c r="K176" s="25" t="n">
        <x:v>0</x:v>
      </x:c>
      <x:c r="L176" s="25" t="n">
        <x:v>0</x:v>
      </x:c>
      <x:c r="M176" s="25" t="n">
        <x:v>0</x:v>
      </x:c>
      <x:c r="N176" s="25" t="n">
        <x:v>1197330</x:v>
      </x:c>
      <x:c r="O176" s="25" t="n">
        <x:v>0</x:v>
      </x:c>
      <x:c r="P176" s="25" t="n">
        <x:v>0</x:v>
      </x:c>
      <x:c r="Q176" s="25" t="n">
        <x:v>598665</x:v>
      </x:c>
      <x:c r="R176" s="25" t="n">
        <x:v>0</x:v>
      </x:c>
      <x:c r="S176" s="25" t="n">
        <x:f>SUM(H176:R176)</x:f>
        <x:v>1795995</x:v>
      </x:c>
    </x:row>
    <x:row r="177">
      <x:c r="A177" s="22" t="str">
        <x:v>Blindage</x:v>
      </x:c>
      <x:c r="B177" s="22" t="str">
        <x:v>blindage_composite</x:v>
      </x:c>
      <x:c r="C177" s="22" t="str">
        <x:v>advanced</x:v>
      </x:c>
      <x:c r="D177" s="25" t="n">
        <x:v>17</x:v>
      </x:c>
      <x:c r="E177" s="25" t="n">
        <x:v>18</x:v>
      </x:c>
      <x:c r="F177" s="25" t="n">
        <x:v>46055093</x:v>
      </x:c>
      <x:c r="G177" s="63" t="n">
        <x:v>139.85910833333332</x:v>
      </x:c>
      <x:c r="H177" s="25" t="n">
        <x:v>0</x:v>
      </x:c>
      <x:c r="I177" s="25" t="n">
        <x:v>0</x:v>
      </x:c>
      <x:c r="J177" s="25" t="n">
        <x:v>0</x:v>
      </x:c>
      <x:c r="K177" s="25" t="n">
        <x:v>0</x:v>
      </x:c>
      <x:c r="L177" s="25" t="n">
        <x:v>0</x:v>
      </x:c>
      <x:c r="M177" s="25" t="n">
        <x:v>0</x:v>
      </x:c>
      <x:c r="N177" s="25" t="n">
        <x:v>1383050</x:v>
      </x:c>
      <x:c r="O177" s="25" t="n">
        <x:v>0</x:v>
      </x:c>
      <x:c r="P177" s="25" t="n">
        <x:v>0</x:v>
      </x:c>
      <x:c r="Q177" s="25" t="n">
        <x:v>691525</x:v>
      </x:c>
      <x:c r="R177" s="25" t="n">
        <x:v>0</x:v>
      </x:c>
      <x:c r="S177" s="25" t="n">
        <x:f>SUM(H177:R177)</x:f>
        <x:v>2074575</x:v>
      </x:c>
    </x:row>
    <x:row r="178">
      <x:c r="A178" s="22" t="str">
        <x:v>Blindage</x:v>
      </x:c>
      <x:c r="B178" s="22" t="str">
        <x:v>blindage_composite</x:v>
      </x:c>
      <x:c r="C178" s="22" t="str">
        <x:v>advanced</x:v>
      </x:c>
      <x:c r="D178" s="25" t="n">
        <x:v>18</x:v>
      </x:c>
      <x:c r="E178" s="25" t="n">
        <x:v>19</x:v>
      </x:c>
      <x:c r="F178" s="25" t="n">
        <x:v>52771266</x:v>
      </x:c>
      <x:c r="G178" s="63" t="n">
        <x:v>153.67290166666666</x:v>
      </x:c>
      <x:c r="H178" s="25" t="n">
        <x:v>0</x:v>
      </x:c>
      <x:c r="I178" s="25" t="n">
        <x:v>0</x:v>
      </x:c>
      <x:c r="J178" s="25" t="n">
        <x:v>0</x:v>
      </x:c>
      <x:c r="K178" s="25" t="n">
        <x:v>0</x:v>
      </x:c>
      <x:c r="L178" s="25" t="n">
        <x:v>0</x:v>
      </x:c>
      <x:c r="M178" s="25" t="n">
        <x:v>0</x:v>
      </x:c>
      <x:c r="N178" s="25" t="n">
        <x:v>1583860</x:v>
      </x:c>
      <x:c r="O178" s="25" t="n">
        <x:v>0</x:v>
      </x:c>
      <x:c r="P178" s="25" t="n">
        <x:v>0</x:v>
      </x:c>
      <x:c r="Q178" s="25" t="n">
        <x:v>791930</x:v>
      </x:c>
      <x:c r="R178" s="25" t="n">
        <x:v>0</x:v>
      </x:c>
      <x:c r="S178" s="25" t="n">
        <x:f>SUM(H178:R178)</x:f>
        <x:v>2375790</x:v>
      </x:c>
    </x:row>
    <x:row r="179">
      <x:c r="A179" s="22" t="str">
        <x:v>Blindage</x:v>
      </x:c>
      <x:c r="B179" s="22" t="str">
        <x:v>blindage_composite</x:v>
      </x:c>
      <x:c r="C179" s="22" t="str">
        <x:v>advanced</x:v>
      </x:c>
      <x:c r="D179" s="25" t="n">
        <x:v>19</x:v>
      </x:c>
      <x:c r="E179" s="25" t="n">
        <x:v>20</x:v>
      </x:c>
      <x:c r="F179" s="25" t="n">
        <x:v>60000000</x:v>
      </x:c>
      <x:c r="G179" s="63" t="n">
        <x:v>168</x:v>
      </x:c>
      <x:c r="H179" s="25" t="n">
        <x:v>0</x:v>
      </x:c>
      <x:c r="I179" s="25" t="n">
        <x:v>0</x:v>
      </x:c>
      <x:c r="J179" s="25" t="n">
        <x:v>0</x:v>
      </x:c>
      <x:c r="K179" s="25" t="n">
        <x:v>0</x:v>
      </x:c>
      <x:c r="L179" s="25" t="n">
        <x:v>0</x:v>
      </x:c>
      <x:c r="M179" s="25" t="n">
        <x:v>0</x:v>
      </x:c>
      <x:c r="N179" s="25" t="n">
        <x:v>1800000</x:v>
      </x:c>
      <x:c r="O179" s="25" t="n">
        <x:v>0</x:v>
      </x:c>
      <x:c r="P179" s="25" t="n">
        <x:v>0</x:v>
      </x:c>
      <x:c r="Q179" s="25" t="n">
        <x:v>900000</x:v>
      </x:c>
      <x:c r="R179" s="25" t="n">
        <x:v>0</x:v>
      </x:c>
      <x:c r="S179" s="25" t="n">
        <x:f>SUM(H179:R179)</x:f>
        <x:v>2700000</x:v>
      </x:c>
    </x:row>
    <x:row r="180">
      <x:c r="A180" s="22" t="str">
        <x:v>Catalyseur</x:v>
      </x:c>
      <x:c r="B180" s="22" t="str">
        <x:v>catalyseur_quantique</x:v>
      </x:c>
      <x:c r="C180" s="22" t="str">
        <x:v>special</x:v>
      </x:c>
      <x:c r="D180" s="25" t="n">
        <x:v>0</x:v>
      </x:c>
      <x:c r="E180" s="25" t="n">
        <x:v>1</x:v>
      </x:c>
      <x:c r="F180" s="25" t="n">
        <x:v>35000</x:v>
      </x:c>
      <x:c r="G180" s="63" t="n">
        <x:v>3</x:v>
      </x:c>
      <x:c r="H180" s="25" t="n">
        <x:v>0</x:v>
      </x:c>
      <x:c r="I180" s="25" t="n">
        <x:v>10000</x:v>
      </x:c>
      <x:c r="J180" s="25" t="n">
        <x:v>10000</x:v>
      </x:c>
      <x:c r="K180" s="25" t="n">
        <x:v>10000</x:v>
      </x:c>
      <x:c r="L180" s="25" t="n">
        <x:v>0</x:v>
      </x:c>
      <x:c r="M180" s="25" t="n">
        <x:v>0</x:v>
      </x:c>
      <x:c r="N180" s="25" t="n">
        <x:v>0</x:v>
      </x:c>
      <x:c r="O180" s="25" t="n">
        <x:v>0</x:v>
      </x:c>
      <x:c r="P180" s="25" t="n">
        <x:v>0</x:v>
      </x:c>
      <x:c r="Q180" s="25" t="n">
        <x:v>0</x:v>
      </x:c>
      <x:c r="R180" s="25" t="n">
        <x:v>0</x:v>
      </x:c>
      <x:c r="S180" s="25" t="n">
        <x:f>SUM(H180:R180)</x:f>
        <x:v>30000</x:v>
      </x:c>
    </x:row>
    <x:row r="181">
      <x:c r="A181" s="22" t="str">
        <x:v>Catalyseur</x:v>
      </x:c>
      <x:c r="B181" s="22" t="str">
        <x:v>catalyseur_quantique</x:v>
      </x:c>
      <x:c r="C181" s="22" t="str">
        <x:v>special</x:v>
      </x:c>
      <x:c r="D181" s="25" t="n">
        <x:v>1</x:v>
      </x:c>
      <x:c r="E181" s="25" t="n">
        <x:v>2</x:v>
      </x:c>
      <x:c r="F181" s="25" t="n">
        <x:v>35000</x:v>
      </x:c>
      <x:c r="G181" s="63" t="n">
        <x:v>3</x:v>
      </x:c>
      <x:c r="H181" s="25" t="n">
        <x:v>0</x:v>
      </x:c>
      <x:c r="I181" s="25" t="n">
        <x:v>10000</x:v>
      </x:c>
      <x:c r="J181" s="25" t="n">
        <x:v>10000</x:v>
      </x:c>
      <x:c r="K181" s="25" t="n">
        <x:v>10000</x:v>
      </x:c>
      <x:c r="L181" s="25" t="n">
        <x:v>0</x:v>
      </x:c>
      <x:c r="M181" s="25" t="n">
        <x:v>0</x:v>
      </x:c>
      <x:c r="N181" s="25" t="n">
        <x:v>0</x:v>
      </x:c>
      <x:c r="O181" s="25" t="n">
        <x:v>0</x:v>
      </x:c>
      <x:c r="P181" s="25" t="n">
        <x:v>0</x:v>
      </x:c>
      <x:c r="Q181" s="25" t="n">
        <x:v>0</x:v>
      </x:c>
      <x:c r="R181" s="25" t="n">
        <x:v>0</x:v>
      </x:c>
      <x:c r="S181" s="25" t="n">
        <x:f>SUM(H181:R181)</x:f>
        <x:v>30000</x:v>
      </x:c>
    </x:row>
    <x:row r="182">
      <x:c r="A182" s="22" t="str">
        <x:v>Catalyseur</x:v>
      </x:c>
      <x:c r="B182" s="22" t="str">
        <x:v>catalyseur_quantique</x:v>
      </x:c>
      <x:c r="C182" s="22" t="str">
        <x:v>special</x:v>
      </x:c>
      <x:c r="D182" s="25" t="n">
        <x:v>2</x:v>
      </x:c>
      <x:c r="E182" s="25" t="n">
        <x:v>3</x:v>
      </x:c>
      <x:c r="F182" s="25" t="n">
        <x:v>89969</x:v>
      </x:c>
      <x:c r="G182" s="63" t="n">
        <x:v>4.252881944444445</x:v>
      </x:c>
      <x:c r="H182" s="25" t="n">
        <x:v>0</x:v>
      </x:c>
      <x:c r="I182" s="25" t="n">
        <x:v>12920</x:v>
      </x:c>
      <x:c r="J182" s="25" t="n">
        <x:v>12920</x:v>
      </x:c>
      <x:c r="K182" s="25" t="n">
        <x:v>12920</x:v>
      </x:c>
      <x:c r="L182" s="25" t="n">
        <x:v>0</x:v>
      </x:c>
      <x:c r="M182" s="25" t="n">
        <x:v>0</x:v>
      </x:c>
      <x:c r="N182" s="25" t="n">
        <x:v>0</x:v>
      </x:c>
      <x:c r="O182" s="25" t="n">
        <x:v>0</x:v>
      </x:c>
      <x:c r="P182" s="25" t="n">
        <x:v>0</x:v>
      </x:c>
      <x:c r="Q182" s="25" t="n">
        <x:v>0</x:v>
      </x:c>
      <x:c r="R182" s="25" t="n">
        <x:v>0</x:v>
      </x:c>
      <x:c r="S182" s="25" t="n">
        <x:f>SUM(H182:R182)</x:f>
        <x:v>38760</x:v>
      </x:c>
    </x:row>
    <x:row r="183">
      <x:c r="A183" s="22" t="str">
        <x:v>Catalyseur</x:v>
      </x:c>
      <x:c r="B183" s="22" t="str">
        <x:v>catalyseur_quantique</x:v>
      </x:c>
      <x:c r="C183" s="22" t="str">
        <x:v>special</x:v>
      </x:c>
      <x:c r="D183" s="25" t="n">
        <x:v>3</x:v>
      </x:c>
      <x:c r="E183" s="25" t="n">
        <x:v>4</x:v>
      </x:c>
      <x:c r="F183" s="25" t="n">
        <x:v>284095</x:v>
      </x:c>
      <x:c r="G183" s="63" t="n">
        <x:v>6.718834166666666</x:v>
      </x:c>
      <x:c r="H183" s="25" t="n">
        <x:v>0</x:v>
      </x:c>
      <x:c r="I183" s="25" t="n">
        <x:v>23220</x:v>
      </x:c>
      <x:c r="J183" s="25" t="n">
        <x:v>23220</x:v>
      </x:c>
      <x:c r="K183" s="25" t="n">
        <x:v>23220</x:v>
      </x:c>
      <x:c r="L183" s="25" t="n">
        <x:v>0</x:v>
      </x:c>
      <x:c r="M183" s="25" t="n">
        <x:v>0</x:v>
      </x:c>
      <x:c r="N183" s="25" t="n">
        <x:v>0</x:v>
      </x:c>
      <x:c r="O183" s="25" t="n">
        <x:v>0</x:v>
      </x:c>
      <x:c r="P183" s="25" t="n">
        <x:v>0</x:v>
      </x:c>
      <x:c r="Q183" s="25" t="n">
        <x:v>0</x:v>
      </x:c>
      <x:c r="R183" s="25" t="n">
        <x:v>0</x:v>
      </x:c>
      <x:c r="S183" s="25" t="n">
        <x:f>SUM(H183:R183)</x:f>
        <x:v>69660</x:v>
      </x:c>
    </x:row>
    <x:row r="184">
      <x:c r="A184" s="22" t="str">
        <x:v>Catalyseur</x:v>
      </x:c>
      <x:c r="B184" s="22" t="str">
        <x:v>catalyseur_quantique</x:v>
      </x:c>
      <x:c r="C184" s="22" t="str">
        <x:v>special</x:v>
      </x:c>
      <x:c r="D184" s="25" t="n">
        <x:v>4</x:v>
      </x:c>
      <x:c r="E184" s="25" t="n">
        <x:v>5</x:v>
      </x:c>
      <x:c r="F184" s="25" t="n">
        <x:v>637899</x:v>
      </x:c>
      <x:c r="G184" s="63" t="n">
        <x:v>10.027480555555556</x:v>
      </x:c>
      <x:c r="H184" s="25" t="n">
        <x:v>0</x:v>
      </x:c>
      <x:c r="I184" s="25" t="n">
        <x:v>41990</x:v>
      </x:c>
      <x:c r="J184" s="25" t="n">
        <x:v>41990</x:v>
      </x:c>
      <x:c r="K184" s="25" t="n">
        <x:v>41990</x:v>
      </x:c>
      <x:c r="L184" s="25" t="n">
        <x:v>0</x:v>
      </x:c>
      <x:c r="M184" s="25" t="n">
        <x:v>0</x:v>
      </x:c>
      <x:c r="N184" s="25" t="n">
        <x:v>0</x:v>
      </x:c>
      <x:c r="O184" s="25" t="n">
        <x:v>0</x:v>
      </x:c>
      <x:c r="P184" s="25" t="n">
        <x:v>0</x:v>
      </x:c>
      <x:c r="Q184" s="25" t="n">
        <x:v>0</x:v>
      </x:c>
      <x:c r="R184" s="25" t="n">
        <x:v>0</x:v>
      </x:c>
      <x:c r="S184" s="25" t="n">
        <x:f>SUM(H184:R184)</x:f>
        <x:v>125970</x:v>
      </x:c>
    </x:row>
    <x:row r="185">
      <x:c r="A185" s="22" t="str">
        <x:v>Catalyseur</x:v>
      </x:c>
      <x:c r="B185" s="22" t="str">
        <x:v>catalyseur_quantique</x:v>
      </x:c>
      <x:c r="C185" s="22" t="str">
        <x:v>special</x:v>
      </x:c>
      <x:c r="D185" s="25" t="n">
        <x:v>5</x:v>
      </x:c>
      <x:c r="E185" s="25" t="n">
        <x:v>6</x:v>
      </x:c>
      <x:c r="F185" s="25" t="n">
        <x:v>1163784</x:v>
      </x:c>
      <x:c r="G185" s="63" t="n">
        <x:v>14.038333333333334</x:v>
      </x:c>
      <x:c r="H185" s="25" t="n">
        <x:v>0</x:v>
      </x:c>
      <x:c r="I185" s="25" t="n">
        <x:v>69900</x:v>
      </x:c>
      <x:c r="J185" s="25" t="n">
        <x:v>69900</x:v>
      </x:c>
      <x:c r="K185" s="25" t="n">
        <x:v>69900</x:v>
      </x:c>
      <x:c r="L185" s="25" t="n">
        <x:v>0</x:v>
      </x:c>
      <x:c r="M185" s="25" t="n">
        <x:v>0</x:v>
      </x:c>
      <x:c r="N185" s="25" t="n">
        <x:v>0</x:v>
      </x:c>
      <x:c r="O185" s="25" t="n">
        <x:v>0</x:v>
      </x:c>
      <x:c r="P185" s="25" t="n">
        <x:v>0</x:v>
      </x:c>
      <x:c r="Q185" s="25" t="n">
        <x:v>0</x:v>
      </x:c>
      <x:c r="R185" s="25" t="n">
        <x:v>0</x:v>
      </x:c>
      <x:c r="S185" s="25" t="n">
        <x:f>SUM(H185:R185)</x:f>
        <x:v>209700</x:v>
      </x:c>
    </x:row>
    <x:row r="186">
      <x:c r="A186" s="22" t="str">
        <x:v>Catalyseur</x:v>
      </x:c>
      <x:c r="B186" s="22" t="str">
        <x:v>catalyseur_quantique</x:v>
      </x:c>
      <x:c r="C186" s="22" t="str">
        <x:v>special</x:v>
      </x:c>
      <x:c r="D186" s="25" t="n">
        <x:v>6</x:v>
      </x:c>
      <x:c r="E186" s="25" t="n">
        <x:v>7</x:v>
      </x:c>
      <x:c r="F186" s="25" t="n">
        <x:v>1871009</x:v>
      </x:c>
      <x:c r="G186" s="63" t="n">
        <x:v>18.667996111111112</x:v>
      </x:c>
      <x:c r="H186" s="25" t="n">
        <x:v>0</x:v>
      </x:c>
      <x:c r="I186" s="25" t="n">
        <x:v>107420</x:v>
      </x:c>
      <x:c r="J186" s="25" t="n">
        <x:v>107420</x:v>
      </x:c>
      <x:c r="K186" s="25" t="n">
        <x:v>107420</x:v>
      </x:c>
      <x:c r="L186" s="25" t="n">
        <x:v>0</x:v>
      </x:c>
      <x:c r="M186" s="25" t="n">
        <x:v>0</x:v>
      </x:c>
      <x:c r="N186" s="25" t="n">
        <x:v>0</x:v>
      </x:c>
      <x:c r="O186" s="25" t="n">
        <x:v>0</x:v>
      </x:c>
      <x:c r="P186" s="25" t="n">
        <x:v>0</x:v>
      </x:c>
      <x:c r="Q186" s="25" t="n">
        <x:v>0</x:v>
      </x:c>
      <x:c r="R186" s="25" t="n">
        <x:v>0</x:v>
      </x:c>
      <x:c r="S186" s="25" t="n">
        <x:f>SUM(H186:R186)</x:f>
        <x:v>322260</x:v>
      </x:c>
    </x:row>
    <x:row r="187">
      <x:c r="A187" s="22" t="str">
        <x:v>Catalyseur</x:v>
      </x:c>
      <x:c r="B187" s="22" t="str">
        <x:v>catalyseur_quantique</x:v>
      </x:c>
      <x:c r="C187" s="22" t="str">
        <x:v>special</x:v>
      </x:c>
      <x:c r="D187" s="25" t="n">
        <x:v>7</x:v>
      </x:c>
      <x:c r="E187" s="25" t="n">
        <x:v>8</x:v>
      </x:c>
      <x:c r="F187" s="25" t="n">
        <x:v>2767058</x:v>
      </x:c>
      <x:c r="G187" s="63" t="n">
        <x:v>23.859137222222223</x:v>
      </x:c>
      <x:c r="H187" s="25" t="n">
        <x:v>0</x:v>
      </x:c>
      <x:c r="I187" s="25" t="n">
        <x:v>154970</x:v>
      </x:c>
      <x:c r="J187" s="25" t="n">
        <x:v>154970</x:v>
      </x:c>
      <x:c r="K187" s="25" t="n">
        <x:v>154970</x:v>
      </x:c>
      <x:c r="L187" s="25" t="n">
        <x:v>0</x:v>
      </x:c>
      <x:c r="M187" s="25" t="n">
        <x:v>0</x:v>
      </x:c>
      <x:c r="N187" s="25" t="n">
        <x:v>0</x:v>
      </x:c>
      <x:c r="O187" s="25" t="n">
        <x:v>0</x:v>
      </x:c>
      <x:c r="P187" s="25" t="n">
        <x:v>0</x:v>
      </x:c>
      <x:c r="Q187" s="25" t="n">
        <x:v>0</x:v>
      </x:c>
      <x:c r="R187" s="25" t="n">
        <x:v>0</x:v>
      </x:c>
      <x:c r="S187" s="25" t="n">
        <x:f>SUM(H187:R187)</x:f>
        <x:v>464910</x:v>
      </x:c>
    </x:row>
    <x:row r="188">
      <x:c r="A188" s="22" t="str">
        <x:v>Catalyseur</x:v>
      </x:c>
      <x:c r="B188" s="22" t="str">
        <x:v>catalyseur_quantique</x:v>
      </x:c>
      <x:c r="C188" s="22" t="str">
        <x:v>special</x:v>
      </x:c>
      <x:c r="D188" s="25" t="n">
        <x:v>8</x:v>
      </x:c>
      <x:c r="E188" s="25" t="n">
        <x:v>9</x:v>
      </x:c>
      <x:c r="F188" s="25" t="n">
        <x:v>3858261</x:v>
      </x:c>
      <x:c r="G188" s="63" t="n">
        <x:v>29.56904972222222</x:v>
      </x:c>
      <x:c r="H188" s="25" t="n">
        <x:v>0</x:v>
      </x:c>
      <x:c r="I188" s="25" t="n">
        <x:v>212870</x:v>
      </x:c>
      <x:c r="J188" s="25" t="n">
        <x:v>212870</x:v>
      </x:c>
      <x:c r="K188" s="25" t="n">
        <x:v>212870</x:v>
      </x:c>
      <x:c r="L188" s="25" t="n">
        <x:v>0</x:v>
      </x:c>
      <x:c r="M188" s="25" t="n">
        <x:v>0</x:v>
      </x:c>
      <x:c r="N188" s="25" t="n">
        <x:v>0</x:v>
      </x:c>
      <x:c r="O188" s="25" t="n">
        <x:v>0</x:v>
      </x:c>
      <x:c r="P188" s="25" t="n">
        <x:v>0</x:v>
      </x:c>
      <x:c r="Q188" s="25" t="n">
        <x:v>0</x:v>
      </x:c>
      <x:c r="R188" s="25" t="n">
        <x:v>0</x:v>
      </x:c>
      <x:c r="S188" s="25" t="n">
        <x:f>SUM(H188:R188)</x:f>
        <x:v>638610</x:v>
      </x:c>
    </x:row>
    <x:row r="189">
      <x:c r="A189" s="22" t="str">
        <x:v>Catalyseur</x:v>
      </x:c>
      <x:c r="B189" s="22" t="str">
        <x:v>catalyseur_quantique</x:v>
      </x:c>
      <x:c r="C189" s="22" t="str">
        <x:v>special</x:v>
      </x:c>
      <x:c r="D189" s="25" t="n">
        <x:v>9</x:v>
      </x:c>
      <x:c r="E189" s="25" t="n">
        <x:v>10</x:v>
      </x:c>
      <x:c r="F189" s="25" t="n">
        <x:v>5150127</x:v>
      </x:c>
      <x:c r="G189" s="63" t="n">
        <x:v>35.76424611111111</x:v>
      </x:c>
      <x:c r="H189" s="25" t="n">
        <x:v>0</x:v>
      </x:c>
      <x:c r="I189" s="25" t="n">
        <x:v>281420</x:v>
      </x:c>
      <x:c r="J189" s="25" t="n">
        <x:v>281420</x:v>
      </x:c>
      <x:c r="K189" s="25" t="n">
        <x:v>281420</x:v>
      </x:c>
      <x:c r="L189" s="25" t="n">
        <x:v>0</x:v>
      </x:c>
      <x:c r="M189" s="25" t="n">
        <x:v>0</x:v>
      </x:c>
      <x:c r="N189" s="25" t="n">
        <x:v>0</x:v>
      </x:c>
      <x:c r="O189" s="25" t="n">
        <x:v>0</x:v>
      </x:c>
      <x:c r="P189" s="25" t="n">
        <x:v>0</x:v>
      </x:c>
      <x:c r="Q189" s="25" t="n">
        <x:v>0</x:v>
      </x:c>
      <x:c r="R189" s="25" t="n">
        <x:v>0</x:v>
      </x:c>
      <x:c r="S189" s="25" t="n">
        <x:f>SUM(H189:R189)</x:f>
        <x:v>844260</x:v>
      </x:c>
    </x:row>
    <x:row r="190">
      <x:c r="A190" s="22" t="str">
        <x:v>Catalyseur</x:v>
      </x:c>
      <x:c r="B190" s="22" t="str">
        <x:v>catalyseur_quantique</x:v>
      </x:c>
      <x:c r="C190" s="22" t="str">
        <x:v>special</x:v>
      </x:c>
      <x:c r="D190" s="25" t="n">
        <x:v>10</x:v>
      </x:c>
      <x:c r="E190" s="25" t="n">
        <x:v>11</x:v>
      </x:c>
      <x:c r="F190" s="25" t="n">
        <x:v>6647549</x:v>
      </x:c>
      <x:c r="G190" s="63" t="n">
        <x:v>42.41750944444444</x:v>
      </x:c>
      <x:c r="H190" s="25" t="n">
        <x:v>0</x:v>
      </x:c>
      <x:c r="I190" s="25" t="n">
        <x:v>360870</x:v>
      </x:c>
      <x:c r="J190" s="25" t="n">
        <x:v>360870</x:v>
      </x:c>
      <x:c r="K190" s="25" t="n">
        <x:v>360870</x:v>
      </x:c>
      <x:c r="L190" s="25" t="n">
        <x:v>0</x:v>
      </x:c>
      <x:c r="M190" s="25" t="n">
        <x:v>0</x:v>
      </x:c>
      <x:c r="N190" s="25" t="n">
        <x:v>0</x:v>
      </x:c>
      <x:c r="O190" s="25" t="n">
        <x:v>0</x:v>
      </x:c>
      <x:c r="P190" s="25" t="n">
        <x:v>0</x:v>
      </x:c>
      <x:c r="Q190" s="25" t="n">
        <x:v>0</x:v>
      </x:c>
      <x:c r="R190" s="25" t="n">
        <x:v>0</x:v>
      </x:c>
      <x:c r="S190" s="25" t="n">
        <x:f>SUM(H190:R190)</x:f>
        <x:v>1082610</x:v>
      </x:c>
    </x:row>
    <x:row r="191">
      <x:c r="A191" s="22" t="str">
        <x:v>Catalyseur</x:v>
      </x:c>
      <x:c r="B191" s="22" t="str">
        <x:v>catalyseur_quantique</x:v>
      </x:c>
      <x:c r="C191" s="22" t="str">
        <x:v>special</x:v>
      </x:c>
      <x:c r="D191" s="25" t="n">
        <x:v>11</x:v>
      </x:c>
      <x:c r="E191" s="25" t="n">
        <x:v>12</x:v>
      </x:c>
      <x:c r="F191" s="25" t="n">
        <x:v>8354941</x:v>
      </x:c>
      <x:c r="G191" s="63" t="n">
        <x:v>49.506123333333335</x:v>
      </x:c>
      <x:c r="H191" s="25" t="n">
        <x:v>0</x:v>
      </x:c>
      <x:c r="I191" s="25" t="n">
        <x:v>451470</x:v>
      </x:c>
      <x:c r="J191" s="25" t="n">
        <x:v>451470</x:v>
      </x:c>
      <x:c r="K191" s="25" t="n">
        <x:v>451470</x:v>
      </x:c>
      <x:c r="L191" s="25" t="n">
        <x:v>0</x:v>
      </x:c>
      <x:c r="M191" s="25" t="n">
        <x:v>0</x:v>
      </x:c>
      <x:c r="N191" s="25" t="n">
        <x:v>0</x:v>
      </x:c>
      <x:c r="O191" s="25" t="n">
        <x:v>0</x:v>
      </x:c>
      <x:c r="P191" s="25" t="n">
        <x:v>0</x:v>
      </x:c>
      <x:c r="Q191" s="25" t="n">
        <x:v>0</x:v>
      </x:c>
      <x:c r="R191" s="25" t="n">
        <x:v>0</x:v>
      </x:c>
      <x:c r="S191" s="25" t="n">
        <x:f>SUM(H191:R191)</x:f>
        <x:v>1354410</x:v>
      </x:c>
    </x:row>
    <x:row r="192">
      <x:c r="A192" s="22" t="str">
        <x:v>Catalyseur</x:v>
      </x:c>
      <x:c r="B192" s="22" t="str">
        <x:v>catalyseur_quantique</x:v>
      </x:c>
      <x:c r="C192" s="22" t="str">
        <x:v>special</x:v>
      </x:c>
      <x:c r="D192" s="25" t="n">
        <x:v>12</x:v>
      </x:c>
      <x:c r="E192" s="25" t="n">
        <x:v>13</x:v>
      </x:c>
      <x:c r="F192" s="25" t="n">
        <x:v>10276328</x:v>
      </x:c>
      <x:c r="G192" s="63" t="n">
        <x:v>57.010736111111115</x:v>
      </x:c>
      <x:c r="H192" s="25" t="n">
        <x:v>0</x:v>
      </x:c>
      <x:c r="I192" s="25" t="n">
        <x:v>553420</x:v>
      </x:c>
      <x:c r="J192" s="25" t="n">
        <x:v>553420</x:v>
      </x:c>
      <x:c r="K192" s="25" t="n">
        <x:v>553420</x:v>
      </x:c>
      <x:c r="L192" s="25" t="n">
        <x:v>0</x:v>
      </x:c>
      <x:c r="M192" s="25" t="n">
        <x:v>0</x:v>
      </x:c>
      <x:c r="N192" s="25" t="n">
        <x:v>0</x:v>
      </x:c>
      <x:c r="O192" s="25" t="n">
        <x:v>0</x:v>
      </x:c>
      <x:c r="P192" s="25" t="n">
        <x:v>0</x:v>
      </x:c>
      <x:c r="Q192" s="25" t="n">
        <x:v>0</x:v>
      </x:c>
      <x:c r="R192" s="25" t="n">
        <x:v>0</x:v>
      </x:c>
      <x:c r="S192" s="25" t="n">
        <x:f>SUM(H192:R192)</x:f>
        <x:v>1660260</x:v>
      </x:c>
    </x:row>
    <x:row r="193">
      <x:c r="A193" s="22" t="str">
        <x:v>Catalyseur</x:v>
      </x:c>
      <x:c r="B193" s="22" t="str">
        <x:v>catalyseur_quantique</x:v>
      </x:c>
      <x:c r="C193" s="22" t="str">
        <x:v>special</x:v>
      </x:c>
      <x:c r="D193" s="25" t="n">
        <x:v>13</x:v>
      </x:c>
      <x:c r="E193" s="25" t="n">
        <x:v>14</x:v>
      </x:c>
      <x:c r="F193" s="25" t="n">
        <x:v>12415419</x:v>
      </x:c>
      <x:c r="G193" s="63" t="n">
        <x:v>64.91459277777778</x:v>
      </x:c>
      <x:c r="H193" s="25" t="n">
        <x:v>0</x:v>
      </x:c>
      <x:c r="I193" s="25" t="n">
        <x:v>666930</x:v>
      </x:c>
      <x:c r="J193" s="25" t="n">
        <x:v>666930</x:v>
      </x:c>
      <x:c r="K193" s="25" t="n">
        <x:v>666930</x:v>
      </x:c>
      <x:c r="L193" s="25" t="n">
        <x:v>0</x:v>
      </x:c>
      <x:c r="M193" s="25" t="n">
        <x:v>0</x:v>
      </x:c>
      <x:c r="N193" s="25" t="n">
        <x:v>0</x:v>
      </x:c>
      <x:c r="O193" s="25" t="n">
        <x:v>0</x:v>
      </x:c>
      <x:c r="P193" s="25" t="n">
        <x:v>0</x:v>
      </x:c>
      <x:c r="Q193" s="25" t="n">
        <x:v>0</x:v>
      </x:c>
      <x:c r="R193" s="25" t="n">
        <x:v>0</x:v>
      </x:c>
      <x:c r="S193" s="25" t="n">
        <x:f>SUM(H193:R193)</x:f>
        <x:v>2000790</x:v>
      </x:c>
    </x:row>
    <x:row r="194">
      <x:c r="A194" s="22" t="str">
        <x:v>Catalyseur</x:v>
      </x:c>
      <x:c r="B194" s="22" t="str">
        <x:v>catalyseur_quantique</x:v>
      </x:c>
      <x:c r="C194" s="22" t="str">
        <x:v>special</x:v>
      </x:c>
      <x:c r="D194" s="25" t="n">
        <x:v>14</x:v>
      </x:c>
      <x:c r="E194" s="25" t="n">
        <x:v>15</x:v>
      </x:c>
      <x:c r="F194" s="25" t="n">
        <x:v>14775653</x:v>
      </x:c>
      <x:c r="G194" s="63" t="n">
        <x:v>73.20299222222222</x:v>
      </x:c>
      <x:c r="H194" s="25" t="n">
        <x:v>0</x:v>
      </x:c>
      <x:c r="I194" s="25" t="n">
        <x:v>792170</x:v>
      </x:c>
      <x:c r="J194" s="25" t="n">
        <x:v>792170</x:v>
      </x:c>
      <x:c r="K194" s="25" t="n">
        <x:v>792170</x:v>
      </x:c>
      <x:c r="L194" s="25" t="n">
        <x:v>0</x:v>
      </x:c>
      <x:c r="M194" s="25" t="n">
        <x:v>0</x:v>
      </x:c>
      <x:c r="N194" s="25" t="n">
        <x:v>0</x:v>
      </x:c>
      <x:c r="O194" s="25" t="n">
        <x:v>0</x:v>
      </x:c>
      <x:c r="P194" s="25" t="n">
        <x:v>0</x:v>
      </x:c>
      <x:c r="Q194" s="25" t="n">
        <x:v>0</x:v>
      </x:c>
      <x:c r="R194" s="25" t="n">
        <x:v>0</x:v>
      </x:c>
      <x:c r="S194" s="25" t="n">
        <x:f>SUM(H194:R194)</x:f>
        <x:v>2376510</x:v>
      </x:c>
    </x:row>
    <x:row r="195">
      <x:c r="A195" s="22" t="str">
        <x:v>Catalyseur</x:v>
      </x:c>
      <x:c r="B195" s="22" t="str">
        <x:v>catalyseur_quantique</x:v>
      </x:c>
      <x:c r="C195" s="22" t="str">
        <x:v>special</x:v>
      </x:c>
      <x:c r="D195" s="25" t="n">
        <x:v>15</x:v>
      </x:c>
      <x:c r="E195" s="25" t="n">
        <x:v>16</x:v>
      </x:c>
      <x:c r="F195" s="25" t="n">
        <x:v>17360243</x:v>
      </x:c>
      <x:c r="G195" s="63" t="n">
        <x:v>81.8628925</x:v>
      </x:c>
      <x:c r="H195" s="25" t="n">
        <x:v>0</x:v>
      </x:c>
      <x:c r="I195" s="25" t="n">
        <x:v>929310</x:v>
      </x:c>
      <x:c r="J195" s="25" t="n">
        <x:v>929310</x:v>
      </x:c>
      <x:c r="K195" s="25" t="n">
        <x:v>929310</x:v>
      </x:c>
      <x:c r="L195" s="25" t="n">
        <x:v>0</x:v>
      </x:c>
      <x:c r="M195" s="25" t="n">
        <x:v>0</x:v>
      </x:c>
      <x:c r="N195" s="25" t="n">
        <x:v>0</x:v>
      </x:c>
      <x:c r="O195" s="25" t="n">
        <x:v>0</x:v>
      </x:c>
      <x:c r="P195" s="25" t="n">
        <x:v>0</x:v>
      </x:c>
      <x:c r="Q195" s="25" t="n">
        <x:v>0</x:v>
      </x:c>
      <x:c r="R195" s="25" t="n">
        <x:v>0</x:v>
      </x:c>
      <x:c r="S195" s="25" t="n">
        <x:f>SUM(H195:R195)</x:f>
        <x:v>2787930</x:v>
      </x:c>
    </x:row>
    <x:row r="196">
      <x:c r="A196" s="22" t="str">
        <x:v>Catalyseur</x:v>
      </x:c>
      <x:c r="B196" s="22" t="str">
        <x:v>catalyseur_quantique</x:v>
      </x:c>
      <x:c r="C196" s="22" t="str">
        <x:v>special</x:v>
      </x:c>
      <x:c r="D196" s="25" t="n">
        <x:v>16</x:v>
      </x:c>
      <x:c r="E196" s="25" t="n">
        <x:v>17</x:v>
      </x:c>
      <x:c r="F196" s="25" t="n">
        <x:v>20172204</x:v>
      </x:c>
      <x:c r="G196" s="63" t="n">
        <x:v>90.88261638888889</x:v>
      </x:c>
      <x:c r="H196" s="25" t="n">
        <x:v>0</x:v>
      </x:c>
      <x:c r="I196" s="25" t="n">
        <x:v>1078520</x:v>
      </x:c>
      <x:c r="J196" s="25" t="n">
        <x:v>1078520</x:v>
      </x:c>
      <x:c r="K196" s="25" t="n">
        <x:v>1078520</x:v>
      </x:c>
      <x:c r="L196" s="25" t="n">
        <x:v>0</x:v>
      </x:c>
      <x:c r="M196" s="25" t="n">
        <x:v>0</x:v>
      </x:c>
      <x:c r="N196" s="25" t="n">
        <x:v>0</x:v>
      </x:c>
      <x:c r="O196" s="25" t="n">
        <x:v>0</x:v>
      </x:c>
      <x:c r="P196" s="25" t="n">
        <x:v>0</x:v>
      </x:c>
      <x:c r="Q196" s="25" t="n">
        <x:v>0</x:v>
      </x:c>
      <x:c r="R196" s="25" t="n">
        <x:v>0</x:v>
      </x:c>
      <x:c r="S196" s="25" t="n">
        <x:f>SUM(H196:R196)</x:f>
        <x:v>3235560</x:v>
      </x:c>
    </x:row>
    <x:row r="197">
      <x:c r="A197" s="22" t="str">
        <x:v>Catalyseur</x:v>
      </x:c>
      <x:c r="B197" s="22" t="str">
        <x:v>catalyseur_quantique</x:v>
      </x:c>
      <x:c r="C197" s="22" t="str">
        <x:v>special</x:v>
      </x:c>
      <x:c r="D197" s="25" t="n">
        <x:v>17</x:v>
      </x:c>
      <x:c r="E197" s="25" t="n">
        <x:v>18</x:v>
      </x:c>
      <x:c r="F197" s="25" t="n">
        <x:v>23214378</x:v>
      </x:c>
      <x:c r="G197" s="63" t="n">
        <x:v>100.25162416666667</x:v>
      </x:c>
      <x:c r="H197" s="25" t="n">
        <x:v>0</x:v>
      </x:c>
      <x:c r="I197" s="25" t="n">
        <x:v>1239940</x:v>
      </x:c>
      <x:c r="J197" s="25" t="n">
        <x:v>1239940</x:v>
      </x:c>
      <x:c r="K197" s="25" t="n">
        <x:v>1239940</x:v>
      </x:c>
      <x:c r="L197" s="25" t="n">
        <x:v>0</x:v>
      </x:c>
      <x:c r="M197" s="25" t="n">
        <x:v>0</x:v>
      </x:c>
      <x:c r="N197" s="25" t="n">
        <x:v>0</x:v>
      </x:c>
      <x:c r="O197" s="25" t="n">
        <x:v>0</x:v>
      </x:c>
      <x:c r="P197" s="25" t="n">
        <x:v>0</x:v>
      </x:c>
      <x:c r="Q197" s="25" t="n">
        <x:v>0</x:v>
      </x:c>
      <x:c r="R197" s="25" t="n">
        <x:v>0</x:v>
      </x:c>
      <x:c r="S197" s="25" t="n">
        <x:f>SUM(H197:R197)</x:f>
        <x:v>3719820</x:v>
      </x:c>
    </x:row>
    <x:row r="198">
      <x:c r="A198" s="22" t="str">
        <x:v>Catalyseur</x:v>
      </x:c>
      <x:c r="B198" s="22" t="str">
        <x:v>catalyseur_quantique</x:v>
      </x:c>
      <x:c r="C198" s="22" t="str">
        <x:v>special</x:v>
      </x:c>
      <x:c r="D198" s="25" t="n">
        <x:v>18</x:v>
      </x:c>
      <x:c r="E198" s="25" t="n">
        <x:v>19</x:v>
      </x:c>
      <x:c r="F198" s="25" t="n">
        <x:v>26489458</x:v>
      </x:c>
      <x:c r="G198" s="63" t="n">
        <x:v>109.9603375</x:v>
      </x:c>
      <x:c r="H198" s="25" t="n">
        <x:v>0</x:v>
      </x:c>
      <x:c r="I198" s="25" t="n">
        <x:v>1413720</x:v>
      </x:c>
      <x:c r="J198" s="25" t="n">
        <x:v>1413720</x:v>
      </x:c>
      <x:c r="K198" s="25" t="n">
        <x:v>1413720</x:v>
      </x:c>
      <x:c r="L198" s="25" t="n">
        <x:v>0</x:v>
      </x:c>
      <x:c r="M198" s="25" t="n">
        <x:v>0</x:v>
      </x:c>
      <x:c r="N198" s="25" t="n">
        <x:v>0</x:v>
      </x:c>
      <x:c r="O198" s="25" t="n">
        <x:v>0</x:v>
      </x:c>
      <x:c r="P198" s="25" t="n">
        <x:v>0</x:v>
      </x:c>
      <x:c r="Q198" s="25" t="n">
        <x:v>0</x:v>
      </x:c>
      <x:c r="R198" s="25" t="n">
        <x:v>0</x:v>
      </x:c>
      <x:c r="S198" s="25" t="n">
        <x:f>SUM(H198:R198)</x:f>
        <x:v>4241160</x:v>
      </x:c>
    </x:row>
    <x:row r="199">
      <x:c r="A199" s="22" t="str">
        <x:v>Catalyseur</x:v>
      </x:c>
      <x:c r="B199" s="22" t="str">
        <x:v>catalyseur_quantique</x:v>
      </x:c>
      <x:c r="C199" s="22" t="str">
        <x:v>special</x:v>
      </x:c>
      <x:c r="D199" s="25" t="n">
        <x:v>19</x:v>
      </x:c>
      <x:c r="E199" s="25" t="n">
        <x:v>20</x:v>
      </x:c>
      <x:c r="F199" s="25" t="n">
        <x:v>30000000</x:v>
      </x:c>
      <x:c r="G199" s="63" t="n">
        <x:v>120</x:v>
      </x:c>
      <x:c r="H199" s="25" t="n">
        <x:v>0</x:v>
      </x:c>
      <x:c r="I199" s="25" t="n">
        <x:v>1600000</x:v>
      </x:c>
      <x:c r="J199" s="25" t="n">
        <x:v>1600000</x:v>
      </x:c>
      <x:c r="K199" s="25" t="n">
        <x:v>1600000</x:v>
      </x:c>
      <x:c r="L199" s="25" t="n">
        <x:v>0</x:v>
      </x:c>
      <x:c r="M199" s="25" t="n">
        <x:v>0</x:v>
      </x:c>
      <x:c r="N199" s="25" t="n">
        <x:v>0</x:v>
      </x:c>
      <x:c r="O199" s="25" t="n">
        <x:v>0</x:v>
      </x:c>
      <x:c r="P199" s="25" t="n">
        <x:v>0</x:v>
      </x:c>
      <x:c r="Q199" s="25" t="n">
        <x:v>0</x:v>
      </x:c>
      <x:c r="R199" s="25" t="n">
        <x:v>0</x:v>
      </x:c>
      <x:c r="S199" s="25" t="n">
        <x:f>SUM(H199:R199)</x:f>
        <x:v>4800000</x:v>
      </x:c>
    </x:row>
    <x:row r="200">
      <x:c r="A200" s="22" t="str">
        <x:v>Noyau</x:v>
      </x:c>
      <x:c r="B200" s="22" t="str">
        <x:v>noyau_astra</x:v>
      </x:c>
      <x:c r="C200" s="22" t="str">
        <x:v>final</x:v>
      </x:c>
      <x:c r="D200" s="25" t="n">
        <x:v>0</x:v>
      </x:c>
      <x:c r="E200" s="25" t="n">
        <x:v>1</x:v>
      </x:c>
      <x:c r="F200" s="25" t="n">
        <x:v>500000</x:v>
      </x:c>
      <x:c r="G200" s="63" t="n">
        <x:v>12</x:v>
      </x:c>
      <x:c r="H200" s="25" t="n">
        <x:v>0</x:v>
      </x:c>
      <x:c r="I200" s="25" t="n">
        <x:v>0</x:v>
      </x:c>
      <x:c r="J200" s="25" t="n">
        <x:v>0</x:v>
      </x:c>
      <x:c r="K200" s="25" t="n">
        <x:v>0</x:v>
      </x:c>
      <x:c r="L200" s="25" t="n">
        <x:v>0</x:v>
      </x:c>
      <x:c r="M200" s="25" t="n">
        <x:v>0</x:v>
      </x:c>
      <x:c r="N200" s="25" t="n">
        <x:v>0</x:v>
      </x:c>
      <x:c r="O200" s="25" t="n">
        <x:v>8000</x:v>
      </x:c>
      <x:c r="P200" s="25" t="n">
        <x:v>8000</x:v>
      </x:c>
      <x:c r="Q200" s="25" t="n">
        <x:v>8000</x:v>
      </x:c>
      <x:c r="R200" s="25" t="n">
        <x:v>0</x:v>
      </x:c>
      <x:c r="S200" s="25" t="n">
        <x:f>SUM(H200:R200)</x:f>
        <x:v>24000</x:v>
      </x:c>
    </x:row>
    <x:row r="201">
      <x:c r="A201" s="22" t="str">
        <x:v>Noyau</x:v>
      </x:c>
      <x:c r="B201" s="22" t="str">
        <x:v>noyau_astra</x:v>
      </x:c>
      <x:c r="C201" s="22" t="str">
        <x:v>final</x:v>
      </x:c>
      <x:c r="D201" s="25" t="n">
        <x:v>1</x:v>
      </x:c>
      <x:c r="E201" s="25" t="n">
        <x:v>2</x:v>
      </x:c>
      <x:c r="F201" s="25" t="n">
        <x:v>500000</x:v>
      </x:c>
      <x:c r="G201" s="63" t="n">
        <x:v>12</x:v>
      </x:c>
      <x:c r="H201" s="25" t="n">
        <x:v>0</x:v>
      </x:c>
      <x:c r="I201" s="25" t="n">
        <x:v>0</x:v>
      </x:c>
      <x:c r="J201" s="25" t="n">
        <x:v>0</x:v>
      </x:c>
      <x:c r="K201" s="25" t="n">
        <x:v>0</x:v>
      </x:c>
      <x:c r="L201" s="25" t="n">
        <x:v>0</x:v>
      </x:c>
      <x:c r="M201" s="25" t="n">
        <x:v>0</x:v>
      </x:c>
      <x:c r="N201" s="25" t="n">
        <x:v>0</x:v>
      </x:c>
      <x:c r="O201" s="25" t="n">
        <x:v>8000</x:v>
      </x:c>
      <x:c r="P201" s="25" t="n">
        <x:v>8000</x:v>
      </x:c>
      <x:c r="Q201" s="25" t="n">
        <x:v>8000</x:v>
      </x:c>
      <x:c r="R201" s="25" t="n">
        <x:v>0</x:v>
      </x:c>
      <x:c r="S201" s="25" t="n">
        <x:f>SUM(H201:R201)</x:f>
        <x:v>24000</x:v>
      </x:c>
    </x:row>
    <x:row r="202">
      <x:c r="A202" s="22" t="str">
        <x:v>Noyau</x:v>
      </x:c>
      <x:c r="B202" s="22" t="str">
        <x:v>noyau_astra</x:v>
      </x:c>
      <x:c r="C202" s="22" t="str">
        <x:v>final</x:v>
      </x:c>
      <x:c r="D202" s="25" t="n">
        <x:v>2</x:v>
      </x:c>
      <x:c r="E202" s="25" t="n">
        <x:v>3</x:v>
      </x:c>
      <x:c r="F202" s="25" t="n">
        <x:v>667784</x:v>
      </x:c>
      <x:c r="G202" s="63" t="n">
        <x:v>14.435700833333334</x:v>
      </x:c>
      <x:c r="H202" s="25" t="n">
        <x:v>0</x:v>
      </x:c>
      <x:c r="I202" s="25" t="n">
        <x:v>0</x:v>
      </x:c>
      <x:c r="J202" s="25" t="n">
        <x:v>0</x:v>
      </x:c>
      <x:c r="K202" s="25" t="n">
        <x:v>0</x:v>
      </x:c>
      <x:c r="L202" s="25" t="n">
        <x:v>0</x:v>
      </x:c>
      <x:c r="M202" s="25" t="n">
        <x:v>0</x:v>
      </x:c>
      <x:c r="N202" s="25" t="n">
        <x:v>0</x:v>
      </x:c>
      <x:c r="O202" s="25" t="n">
        <x:v>8470</x:v>
      </x:c>
      <x:c r="P202" s="25" t="n">
        <x:v>8470</x:v>
      </x:c>
      <x:c r="Q202" s="25" t="n">
        <x:v>15290</x:v>
      </x:c>
      <x:c r="R202" s="25" t="n">
        <x:v>0</x:v>
      </x:c>
      <x:c r="S202" s="25" t="n">
        <x:f>SUM(H202:R202)</x:f>
        <x:v>32230</x:v>
      </x:c>
    </x:row>
    <x:row r="203">
      <x:c r="A203" s="22" t="str">
        <x:v>Noyau</x:v>
      </x:c>
      <x:c r="B203" s="22" t="str">
        <x:v>noyau_astra</x:v>
      </x:c>
      <x:c r="C203" s="22" t="str">
        <x:v>final</x:v>
      </x:c>
      <x:c r="D203" s="25" t="n">
        <x:v>3</x:v>
      </x:c>
      <x:c r="E203" s="25" t="n">
        <x:v>4</x:v>
      </x:c>
      <x:c r="F203" s="25" t="n">
        <x:v>1355404</x:v>
      </x:c>
      <x:c r="G203" s="63" t="n">
        <x:v>19.869854166666666</x:v>
      </x:c>
      <x:c r="H203" s="25" t="n">
        <x:v>0</x:v>
      </x:c>
      <x:c r="I203" s="25" t="n">
        <x:v>0</x:v>
      </x:c>
      <x:c r="J203" s="25" t="n">
        <x:v>0</x:v>
      </x:c>
      <x:c r="K203" s="25" t="n">
        <x:v>0</x:v>
      </x:c>
      <x:c r="L203" s="25" t="n">
        <x:v>0</x:v>
      </x:c>
      <x:c r="M203" s="25" t="n">
        <x:v>0</x:v>
      </x:c>
      <x:c r="N203" s="25" t="n">
        <x:v>0</x:v>
      </x:c>
      <x:c r="O203" s="25" t="n">
        <x:v>10390</x:v>
      </x:c>
      <x:c r="P203" s="25" t="n">
        <x:v>10390</x:v>
      </x:c>
      <x:c r="Q203" s="25" t="n">
        <x:v>45150</x:v>
      </x:c>
      <x:c r="R203" s="25" t="n">
        <x:v>0</x:v>
      </x:c>
      <x:c r="S203" s="25" t="n">
        <x:f>SUM(H203:R203)</x:f>
        <x:v>65930</x:v>
      </x:c>
    </x:row>
    <x:row r="204">
      <x:c r="A204" s="22" t="str">
        <x:v>Noyau</x:v>
      </x:c>
      <x:c r="B204" s="22" t="str">
        <x:v>noyau_astra</x:v>
      </x:c>
      <x:c r="C204" s="22" t="str">
        <x:v>final</x:v>
      </x:c>
      <x:c r="D204" s="25" t="n">
        <x:v>4</x:v>
      </x:c>
      <x:c r="E204" s="25" t="n">
        <x:v>5</x:v>
      </x:c>
      <x:c r="F204" s="25" t="n">
        <x:v>2718124</x:v>
      </x:c>
      <x:c r="G204" s="63" t="n">
        <x:v>27.62834888888889</x:v>
      </x:c>
      <x:c r="H204" s="25" t="n">
        <x:v>0</x:v>
      </x:c>
      <x:c r="I204" s="25" t="n">
        <x:v>0</x:v>
      </x:c>
      <x:c r="J204" s="25" t="n">
        <x:v>0</x:v>
      </x:c>
      <x:c r="K204" s="25" t="n">
        <x:v>0</x:v>
      </x:c>
      <x:c r="L204" s="25" t="n">
        <x:v>0</x:v>
      </x:c>
      <x:c r="M204" s="25" t="n">
        <x:v>0</x:v>
      </x:c>
      <x:c r="N204" s="25" t="n">
        <x:v>0</x:v>
      </x:c>
      <x:c r="O204" s="25" t="n">
        <x:v>14190</x:v>
      </x:c>
      <x:c r="P204" s="25" t="n">
        <x:v>14190</x:v>
      </x:c>
      <x:c r="Q204" s="25" t="n">
        <x:v>104320</x:v>
      </x:c>
      <x:c r="R204" s="25" t="n">
        <x:v>0</x:v>
      </x:c>
      <x:c r="S204" s="25" t="n">
        <x:f>SUM(H204:R204)</x:f>
        <x:v>132700</x:v>
      </x:c>
    </x:row>
    <x:row r="205">
      <x:c r="A205" s="22" t="str">
        <x:v>Noyau</x:v>
      </x:c>
      <x:c r="B205" s="22" t="str">
        <x:v>noyau_astra</x:v>
      </x:c>
      <x:c r="C205" s="22" t="str">
        <x:v>final</x:v>
      </x:c>
      <x:c r="D205" s="25" t="n">
        <x:v>5</x:v>
      </x:c>
      <x:c r="E205" s="25" t="n">
        <x:v>6</x:v>
      </x:c>
      <x:c r="F205" s="25" t="n">
        <x:v>4861057</x:v>
      </x:c>
      <x:c r="G205" s="63" t="n">
        <x:v>37.427838055555554</x:v>
      </x:c>
      <x:c r="H205" s="25" t="n">
        <x:v>0</x:v>
      </x:c>
      <x:c r="I205" s="25" t="n">
        <x:v>0</x:v>
      </x:c>
      <x:c r="J205" s="25" t="n">
        <x:v>0</x:v>
      </x:c>
      <x:c r="K205" s="25" t="n">
        <x:v>0</x:v>
      </x:c>
      <x:c r="L205" s="25" t="n">
        <x:v>0</x:v>
      </x:c>
      <x:c r="M205" s="25" t="n">
        <x:v>0</x:v>
      </x:c>
      <x:c r="N205" s="25" t="n">
        <x:v>0</x:v>
      </x:c>
      <x:c r="O205" s="25" t="n">
        <x:v>20160</x:v>
      </x:c>
      <x:c r="P205" s="25" t="n">
        <x:v>20160</x:v>
      </x:c>
      <x:c r="Q205" s="25" t="n">
        <x:v>197380</x:v>
      </x:c>
      <x:c r="R205" s="25" t="n">
        <x:v>0</x:v>
      </x:c>
      <x:c r="S205" s="25" t="n">
        <x:f>SUM(H205:R205)</x:f>
        <x:v>237700</x:v>
      </x:c>
    </x:row>
    <x:row r="206">
      <x:c r="A206" s="22" t="str">
        <x:v>Noyau</x:v>
      </x:c>
      <x:c r="B206" s="22" t="str">
        <x:v>noyau_astra</x:v>
      </x:c>
      <x:c r="C206" s="22" t="str">
        <x:v>final</x:v>
      </x:c>
      <x:c r="D206" s="25" t="n">
        <x:v>6</x:v>
      </x:c>
      <x:c r="E206" s="25" t="n">
        <x:v>7</x:v>
      </x:c>
      <x:c r="F206" s="25" t="n">
        <x:v>7867673</x:v>
      </x:c>
      <x:c r="G206" s="63" t="n">
        <x:v>49.092079166666664</x:v>
      </x:c>
      <x:c r="H206" s="25" t="n">
        <x:v>0</x:v>
      </x:c>
      <x:c r="I206" s="25" t="n">
        <x:v>0</x:v>
      </x:c>
      <x:c r="J206" s="25" t="n">
        <x:v>0</x:v>
      </x:c>
      <x:c r="K206" s="25" t="n">
        <x:v>0</x:v>
      </x:c>
      <x:c r="L206" s="25" t="n">
        <x:v>0</x:v>
      </x:c>
      <x:c r="M206" s="25" t="n">
        <x:v>0</x:v>
      </x:c>
      <x:c r="N206" s="25" t="n">
        <x:v>0</x:v>
      </x:c>
      <x:c r="O206" s="25" t="n">
        <x:v>28550</x:v>
      </x:c>
      <x:c r="P206" s="25" t="n">
        <x:v>28550</x:v>
      </x:c>
      <x:c r="Q206" s="25" t="n">
        <x:v>327940</x:v>
      </x:c>
      <x:c r="R206" s="25" t="n">
        <x:v>0</x:v>
      </x:c>
      <x:c r="S206" s="25" t="n">
        <x:f>SUM(H206:R206)</x:f>
        <x:v>385040</x:v>
      </x:c>
    </x:row>
    <x:row r="207">
      <x:c r="A207" s="22" t="str">
        <x:v>Noyau</x:v>
      </x:c>
      <x:c r="B207" s="22" t="str">
        <x:v>noyau_astra</x:v>
      </x:c>
      <x:c r="C207" s="22" t="str">
        <x:v>final</x:v>
      </x:c>
      <x:c r="D207" s="25" t="n">
        <x:v>7</x:v>
      </x:c>
      <x:c r="E207" s="25" t="n">
        <x:v>8</x:v>
      </x:c>
      <x:c r="F207" s="25" t="n">
        <x:v>11808532</x:v>
      </x:c>
      <x:c r="G207" s="63" t="n">
        <x:v>62.49586861111111</x:v>
      </x:c>
      <x:c r="H207" s="25" t="n">
        <x:v>0</x:v>
      </x:c>
      <x:c r="I207" s="25" t="n">
        <x:v>0</x:v>
      </x:c>
      <x:c r="J207" s="25" t="n">
        <x:v>0</x:v>
      </x:c>
      <x:c r="K207" s="25" t="n">
        <x:v>0</x:v>
      </x:c>
      <x:c r="L207" s="25" t="n">
        <x:v>0</x:v>
      </x:c>
      <x:c r="M207" s="25" t="n">
        <x:v>0</x:v>
      </x:c>
      <x:c r="N207" s="25" t="n">
        <x:v>0</x:v>
      </x:c>
      <x:c r="O207" s="25" t="n">
        <x:v>39540</x:v>
      </x:c>
      <x:c r="P207" s="25" t="n">
        <x:v>39540</x:v>
      </x:c>
      <x:c r="Q207" s="25" t="n">
        <x:v>499070</x:v>
      </x:c>
      <x:c r="R207" s="25" t="n">
        <x:v>0</x:v>
      </x:c>
      <x:c r="S207" s="25" t="n">
        <x:f>SUM(H207:R207)</x:f>
        <x:v>578150</x:v>
      </x:c>
    </x:row>
    <x:row r="208">
      <x:c r="A208" s="22" t="str">
        <x:v>Noyau</x:v>
      </x:c>
      <x:c r="B208" s="22" t="str">
        <x:v>noyau_astra</x:v>
      </x:c>
      <x:c r="C208" s="22" t="str">
        <x:v>final</x:v>
      </x:c>
      <x:c r="D208" s="25" t="n">
        <x:v>8</x:v>
      </x:c>
      <x:c r="E208" s="25" t="n">
        <x:v>9</x:v>
      </x:c>
      <x:c r="F208" s="25" t="n">
        <x:v>16745430</x:v>
      </x:c>
      <x:c r="G208" s="63" t="n">
        <x:v>77.54352805555556</x:v>
      </x:c>
      <x:c r="H208" s="25" t="n">
        <x:v>0</x:v>
      </x:c>
      <x:c r="I208" s="25" t="n">
        <x:v>0</x:v>
      </x:c>
      <x:c r="J208" s="25" t="n">
        <x:v>0</x:v>
      </x:c>
      <x:c r="K208" s="25" t="n">
        <x:v>0</x:v>
      </x:c>
      <x:c r="L208" s="25" t="n">
        <x:v>0</x:v>
      </x:c>
      <x:c r="M208" s="25" t="n">
        <x:v>0</x:v>
      </x:c>
      <x:c r="N208" s="25" t="n">
        <x:v>0</x:v>
      </x:c>
      <x:c r="O208" s="25" t="n">
        <x:v>53310</x:v>
      </x:c>
      <x:c r="P208" s="25" t="n">
        <x:v>53310</x:v>
      </x:c>
      <x:c r="Q208" s="25" t="n">
        <x:v>713450</x:v>
      </x:c>
      <x:c r="R208" s="25" t="n">
        <x:v>0</x:v>
      </x:c>
      <x:c r="S208" s="25" t="n">
        <x:f>SUM(H208:R208)</x:f>
        <x:v>820070</x:v>
      </x:c>
    </x:row>
    <x:row r="209">
      <x:c r="A209" s="22" t="str">
        <x:v>Noyau</x:v>
      </x:c>
      <x:c r="B209" s="22" t="str">
        <x:v>noyau_astra</x:v>
      </x:c>
      <x:c r="C209" s="22" t="str">
        <x:v>final</x:v>
      </x:c>
      <x:c r="D209" s="25" t="n">
        <x:v>9</x:v>
      </x:c>
      <x:c r="E209" s="25" t="n">
        <x:v>10</x:v>
      </x:c>
      <x:c r="F209" s="25" t="n">
        <x:v>22733727</x:v>
      </x:c>
      <x:c r="G209" s="63" t="n">
        <x:v>94.15844111111112</x:v>
      </x:c>
      <x:c r="H209" s="25" t="n">
        <x:v>0</x:v>
      </x:c>
      <x:c r="I209" s="25" t="n">
        <x:v>0</x:v>
      </x:c>
      <x:c r="J209" s="25" t="n">
        <x:v>0</x:v>
      </x:c>
      <x:c r="K209" s="25" t="n">
        <x:v>0</x:v>
      </x:c>
      <x:c r="L209" s="25" t="n">
        <x:v>0</x:v>
      </x:c>
      <x:c r="M209" s="25" t="n">
        <x:v>0</x:v>
      </x:c>
      <x:c r="N209" s="25" t="n">
        <x:v>0</x:v>
      </x:c>
      <x:c r="O209" s="25" t="n">
        <x:v>70020</x:v>
      </x:c>
      <x:c r="P209" s="25" t="n">
        <x:v>70020</x:v>
      </x:c>
      <x:c r="Q209" s="25" t="n">
        <x:v>973490</x:v>
      </x:c>
      <x:c r="R209" s="25" t="n">
        <x:v>0</x:v>
      </x:c>
      <x:c r="S209" s="25" t="n">
        <x:f>SUM(H209:R209)</x:f>
        <x:v>1113530</x:v>
      </x:c>
    </x:row>
    <x:row r="210">
      <x:c r="A210" s="22" t="str">
        <x:v>Noyau</x:v>
      </x:c>
      <x:c r="B210" s="22" t="str">
        <x:v>noyau_astra</x:v>
      </x:c>
      <x:c r="C210" s="22" t="str">
        <x:v>final</x:v>
      </x:c>
      <x:c r="D210" s="25" t="n">
        <x:v>10</x:v>
      </x:c>
      <x:c r="E210" s="25" t="n">
        <x:v>11</x:v>
      </x:c>
      <x:c r="F210" s="25" t="n">
        <x:v>29823831</x:v>
      </x:c>
      <x:c r="G210" s="63" t="n">
        <x:v>112.27721361111111</x:v>
      </x:c>
      <x:c r="H210" s="25" t="n">
        <x:v>0</x:v>
      </x:c>
      <x:c r="I210" s="25" t="n">
        <x:v>0</x:v>
      </x:c>
      <x:c r="J210" s="25" t="n">
        <x:v>0</x:v>
      </x:c>
      <x:c r="K210" s="25" t="n">
        <x:v>0</x:v>
      </x:c>
      <x:c r="L210" s="25" t="n">
        <x:v>0</x:v>
      </x:c>
      <x:c r="M210" s="25" t="n">
        <x:v>0</x:v>
      </x:c>
      <x:c r="N210" s="25" t="n">
        <x:v>0</x:v>
      </x:c>
      <x:c r="O210" s="25" t="n">
        <x:v>89790</x:v>
      </x:c>
      <x:c r="P210" s="25" t="n">
        <x:v>89790</x:v>
      </x:c>
      <x:c r="Q210" s="25" t="n">
        <x:v>1281380</x:v>
      </x:c>
      <x:c r="R210" s="25" t="n">
        <x:v>0</x:v>
      </x:c>
      <x:c r="S210" s="25" t="n">
        <x:f>SUM(H210:R210)</x:f>
        <x:v>1460960</x:v>
      </x:c>
    </x:row>
    <x:row r="211">
      <x:c r="A211" s="22" t="str">
        <x:v>Noyau</x:v>
      </x:c>
      <x:c r="B211" s="22" t="str">
        <x:v>noyau_astra</x:v>
      </x:c>
      <x:c r="C211" s="22" t="str">
        <x:v>final</x:v>
      </x:c>
      <x:c r="D211" s="25" t="n">
        <x:v>11</x:v>
      </x:c>
      <x:c r="E211" s="25" t="n">
        <x:v>12</x:v>
      </x:c>
      <x:c r="F211" s="25" t="n">
        <x:v>38062181</x:v>
      </x:c>
      <x:c r="G211" s="63" t="n">
        <x:v>131.84610694444444</x:v>
      </x:c>
      <x:c r="H211" s="25" t="n">
        <x:v>0</x:v>
      </x:c>
      <x:c r="I211" s="25" t="n">
        <x:v>0</x:v>
      </x:c>
      <x:c r="J211" s="25" t="n">
        <x:v>0</x:v>
      </x:c>
      <x:c r="K211" s="25" t="n">
        <x:v>0</x:v>
      </x:c>
      <x:c r="L211" s="25" t="n">
        <x:v>0</x:v>
      </x:c>
      <x:c r="M211" s="25" t="n">
        <x:v>0</x:v>
      </x:c>
      <x:c r="N211" s="25" t="n">
        <x:v>0</x:v>
      </x:c>
      <x:c r="O211" s="25" t="n">
        <x:v>112770</x:v>
      </x:c>
      <x:c r="P211" s="25" t="n">
        <x:v>112770</x:v>
      </x:c>
      <x:c r="Q211" s="25" t="n">
        <x:v>1639130</x:v>
      </x:c>
      <x:c r="R211" s="25" t="n">
        <x:v>0</x:v>
      </x:c>
      <x:c r="S211" s="25" t="n">
        <x:f>SUM(H211:R211)</x:f>
        <x:v>1864670</x:v>
      </x:c>
    </x:row>
    <x:row r="212">
      <x:c r="A212" s="22" t="str">
        <x:v>Noyau</x:v>
      </x:c>
      <x:c r="B212" s="22" t="str">
        <x:v>noyau_astra</x:v>
      </x:c>
      <x:c r="C212" s="22" t="str">
        <x:v>final</x:v>
      </x:c>
      <x:c r="D212" s="25" t="n">
        <x:v>12</x:v>
      </x:c>
      <x:c r="E212" s="25" t="n">
        <x:v>13</x:v>
      </x:c>
      <x:c r="F212" s="25" t="n">
        <x:v>47491966</x:v>
      </x:c>
      <x:c r="G212" s="63" t="n">
        <x:v>152.81870777777777</x:v>
      </x:c>
      <x:c r="H212" s="25" t="n">
        <x:v>0</x:v>
      </x:c>
      <x:c r="I212" s="25" t="n">
        <x:v>0</x:v>
      </x:c>
      <x:c r="J212" s="25" t="n">
        <x:v>0</x:v>
      </x:c>
      <x:c r="K212" s="25" t="n">
        <x:v>0</x:v>
      </x:c>
      <x:c r="L212" s="25" t="n">
        <x:v>0</x:v>
      </x:c>
      <x:c r="M212" s="25" t="n">
        <x:v>0</x:v>
      </x:c>
      <x:c r="N212" s="25" t="n">
        <x:v>0</x:v>
      </x:c>
      <x:c r="O212" s="25" t="n">
        <x:v>139070</x:v>
      </x:c>
      <x:c r="P212" s="25" t="n">
        <x:v>139070</x:v>
      </x:c>
      <x:c r="Q212" s="25" t="n">
        <x:v>2048610</x:v>
      </x:c>
      <x:c r="R212" s="25" t="n">
        <x:v>0</x:v>
      </x:c>
      <x:c r="S212" s="25" t="n">
        <x:f>SUM(H212:R212)</x:f>
        <x:v>2326750</x:v>
      </x:c>
    </x:row>
    <x:row r="213">
      <x:c r="A213" s="22" t="str">
        <x:v>Noyau</x:v>
      </x:c>
      <x:c r="B213" s="22" t="str">
        <x:v>noyau_astra</x:v>
      </x:c>
      <x:c r="C213" s="22" t="str">
        <x:v>final</x:v>
      </x:c>
      <x:c r="D213" s="25" t="n">
        <x:v>13</x:v>
      </x:c>
      <x:c r="E213" s="25" t="n">
        <x:v>14</x:v>
      </x:c>
      <x:c r="F213" s="25" t="n">
        <x:v>58153640</x:v>
      </x:c>
      <x:c r="G213" s="63" t="n">
        <x:v>175.15432833333332</x:v>
      </x:c>
      <x:c r="H213" s="25" t="n">
        <x:v>0</x:v>
      </x:c>
      <x:c r="I213" s="25" t="n">
        <x:v>0</x:v>
      </x:c>
      <x:c r="J213" s="25" t="n">
        <x:v>0</x:v>
      </x:c>
      <x:c r="K213" s="25" t="n">
        <x:v>0</x:v>
      </x:c>
      <x:c r="L213" s="25" t="n">
        <x:v>0</x:v>
      </x:c>
      <x:c r="M213" s="25" t="n">
        <x:v>0</x:v>
      </x:c>
      <x:c r="N213" s="25" t="n">
        <x:v>0</x:v>
      </x:c>
      <x:c r="O213" s="25" t="n">
        <x:v>168810</x:v>
      </x:c>
      <x:c r="P213" s="25" t="n">
        <x:v>168810</x:v>
      </x:c>
      <x:c r="Q213" s="25" t="n">
        <x:v>2511590</x:v>
      </x:c>
      <x:c r="R213" s="25" t="n">
        <x:v>0</x:v>
      </x:c>
      <x:c r="S213" s="25" t="n">
        <x:f>SUM(H213:R213)</x:f>
        <x:v>2849210</x:v>
      </x:c>
    </x:row>
    <x:row r="214">
      <x:c r="A214" s="22" t="str">
        <x:v>Noyau</x:v>
      </x:c>
      <x:c r="B214" s="22" t="str">
        <x:v>noyau_astra</x:v>
      </x:c>
      <x:c r="C214" s="22" t="str">
        <x:v>final</x:v>
      </x:c>
      <x:c r="D214" s="25" t="n">
        <x:v>14</x:v>
      </x:c>
      <x:c r="E214" s="25" t="n">
        <x:v>15</x:v>
      </x:c>
      <x:c r="F214" s="25" t="n">
        <x:v>70085329</x:v>
      </x:c>
      <x:c r="G214" s="63" t="n">
        <x:v>198.81686666666667</x:v>
      </x:c>
      <x:c r="H214" s="25" t="n">
        <x:v>0</x:v>
      </x:c>
      <x:c r="I214" s="25" t="n">
        <x:v>0</x:v>
      </x:c>
      <x:c r="J214" s="25" t="n">
        <x:v>0</x:v>
      </x:c>
      <x:c r="K214" s="25" t="n">
        <x:v>0</x:v>
      </x:c>
      <x:c r="L214" s="25" t="n">
        <x:v>0</x:v>
      </x:c>
      <x:c r="M214" s="25" t="n">
        <x:v>0</x:v>
      </x:c>
      <x:c r="N214" s="25" t="n">
        <x:v>0</x:v>
      </x:c>
      <x:c r="O214" s="25" t="n">
        <x:v>202090</x:v>
      </x:c>
      <x:c r="P214" s="25" t="n">
        <x:v>202090</x:v>
      </x:c>
      <x:c r="Q214" s="25" t="n">
        <x:v>3029730</x:v>
      </x:c>
      <x:c r="R214" s="25" t="n">
        <x:v>0</x:v>
      </x:c>
      <x:c r="S214" s="25" t="n">
        <x:f>SUM(H214:R214)</x:f>
        <x:v>3433910</x:v>
      </x:c>
    </x:row>
    <x:row r="215">
      <x:c r="A215" s="22" t="str">
        <x:v>Noyau</x:v>
      </x:c>
      <x:c r="B215" s="22" t="str">
        <x:v>noyau_astra</x:v>
      </x:c>
      <x:c r="C215" s="22" t="str">
        <x:v>final</x:v>
      </x:c>
      <x:c r="D215" s="25" t="n">
        <x:v>15</x:v>
      </x:c>
      <x:c r="E215" s="25" t="n">
        <x:v>16</x:v>
      </x:c>
      <x:c r="F215" s="25" t="n">
        <x:v>83323140</x:v>
      </x:c>
      <x:c r="G215" s="63" t="n">
        <x:v>223.773965</x:v>
      </x:c>
      <x:c r="H215" s="25" t="n">
        <x:v>0</x:v>
      </x:c>
      <x:c r="I215" s="25" t="n">
        <x:v>0</x:v>
      </x:c>
      <x:c r="J215" s="25" t="n">
        <x:v>0</x:v>
      </x:c>
      <x:c r="K215" s="25" t="n">
        <x:v>0</x:v>
      </x:c>
      <x:c r="L215" s="25" t="n">
        <x:v>0</x:v>
      </x:c>
      <x:c r="M215" s="25" t="n">
        <x:v>0</x:v>
      </x:c>
      <x:c r="N215" s="25" t="n">
        <x:v>0</x:v>
      </x:c>
      <x:c r="O215" s="25" t="n">
        <x:v>239020</x:v>
      </x:c>
      <x:c r="P215" s="25" t="n">
        <x:v>239020</x:v>
      </x:c>
      <x:c r="Q215" s="25" t="n">
        <x:v>3604570</x:v>
      </x:c>
      <x:c r="R215" s="25" t="n">
        <x:v>0</x:v>
      </x:c>
      <x:c r="S215" s="25" t="n">
        <x:f>SUM(H215:R215)</x:f>
        <x:v>4082610</x:v>
      </x:c>
    </x:row>
    <x:row r="216">
      <x:c r="A216" s="22" t="str">
        <x:v>Noyau</x:v>
      </x:c>
      <x:c r="B216" s="22" t="str">
        <x:v>noyau_astra</x:v>
      </x:c>
      <x:c r="C216" s="22" t="str">
        <x:v>final</x:v>
      </x:c>
      <x:c r="D216" s="25" t="n">
        <x:v>16</x:v>
      </x:c>
      <x:c r="E216" s="25" t="n">
        <x:v>17</x:v>
      </x:c>
      <x:c r="F216" s="25" t="n">
        <x:v>97901415</x:v>
      </x:c>
      <x:c r="G216" s="63" t="n">
        <x:v>249.9963747222222</x:v>
      </x:c>
      <x:c r="H216" s="25" t="n">
        <x:v>0</x:v>
      </x:c>
      <x:c r="I216" s="25" t="n">
        <x:v>0</x:v>
      </x:c>
      <x:c r="J216" s="25" t="n">
        <x:v>0</x:v>
      </x:c>
      <x:c r="K216" s="25" t="n">
        <x:v>0</x:v>
      </x:c>
      <x:c r="L216" s="25" t="n">
        <x:v>0</x:v>
      </x:c>
      <x:c r="M216" s="25" t="n">
        <x:v>0</x:v>
      </x:c>
      <x:c r="N216" s="25" t="n">
        <x:v>0</x:v>
      </x:c>
      <x:c r="O216" s="25" t="n">
        <x:v>279680</x:v>
      </x:c>
      <x:c r="P216" s="25" t="n">
        <x:v>279680</x:v>
      </x:c>
      <x:c r="Q216" s="25" t="n">
        <x:v>4237630</x:v>
      </x:c>
      <x:c r="R216" s="25" t="n">
        <x:v>0</x:v>
      </x:c>
      <x:c r="S216" s="25" t="n">
        <x:f>SUM(H216:R216)</x:f>
        <x:v>4796990</x:v>
      </x:c>
    </x:row>
    <x:row r="217">
      <x:c r="A217" s="22" t="str">
        <x:v>Noyau</x:v>
      </x:c>
      <x:c r="B217" s="22" t="str">
        <x:v>noyau_astra</x:v>
      </x:c>
      <x:c r="C217" s="22" t="str">
        <x:v>final</x:v>
      </x:c>
      <x:c r="D217" s="25" t="n">
        <x:v>17</x:v>
      </x:c>
      <x:c r="E217" s="25" t="n">
        <x:v>18</x:v>
      </x:c>
      <x:c r="F217" s="25" t="n">
        <x:v>113852934</x:v>
      </x:c>
      <x:c r="G217" s="63" t="n">
        <x:v>277.4574647222222</x:v>
      </x:c>
      <x:c r="H217" s="25" t="n">
        <x:v>0</x:v>
      </x:c>
      <x:c r="I217" s="25" t="n">
        <x:v>0</x:v>
      </x:c>
      <x:c r="J217" s="25" t="n">
        <x:v>0</x:v>
      </x:c>
      <x:c r="K217" s="25" t="n">
        <x:v>0</x:v>
      </x:c>
      <x:c r="L217" s="25" t="n">
        <x:v>0</x:v>
      </x:c>
      <x:c r="M217" s="25" t="n">
        <x:v>0</x:v>
      </x:c>
      <x:c r="N217" s="25" t="n">
        <x:v>0</x:v>
      </x:c>
      <x:c r="O217" s="25" t="n">
        <x:v>324180</x:v>
      </x:c>
      <x:c r="P217" s="25" t="n">
        <x:v>324180</x:v>
      </x:c>
      <x:c r="Q217" s="25" t="n">
        <x:v>4930320</x:v>
      </x:c>
      <x:c r="R217" s="25" t="n">
        <x:v>0</x:v>
      </x:c>
      <x:c r="S217" s="25" t="n">
        <x:f>SUM(H217:R217)</x:f>
        <x:v>5578680</x:v>
      </x:c>
    </x:row>
    <x:row r="218">
      <x:c r="A218" s="22" t="str">
        <x:v>Noyau</x:v>
      </x:c>
      <x:c r="B218" s="22" t="str">
        <x:v>noyau_astra</x:v>
      </x:c>
      <x:c r="C218" s="22" t="str">
        <x:v>final</x:v>
      </x:c>
      <x:c r="D218" s="25" t="n">
        <x:v>18</x:v>
      </x:c>
      <x:c r="E218" s="25" t="n">
        <x:v>19</x:v>
      </x:c>
      <x:c r="F218" s="25" t="n">
        <x:v>131209084</x:v>
      </x:c>
      <x:c r="G218" s="63" t="n">
        <x:v>306.13283333333334</x:v>
      </x:c>
      <x:c r="H218" s="25" t="n">
        <x:v>0</x:v>
      </x:c>
      <x:c r="I218" s="25" t="n">
        <x:v>0</x:v>
      </x:c>
      <x:c r="J218" s="25" t="n">
        <x:v>0</x:v>
      </x:c>
      <x:c r="K218" s="25" t="n">
        <x:v>0</x:v>
      </x:c>
      <x:c r="L218" s="25" t="n">
        <x:v>0</x:v>
      </x:c>
      <x:c r="M218" s="25" t="n">
        <x:v>0</x:v>
      </x:c>
      <x:c r="N218" s="25" t="n">
        <x:v>0</x:v>
      </x:c>
      <x:c r="O218" s="25" t="n">
        <x:v>372590</x:v>
      </x:c>
      <x:c r="P218" s="25" t="n">
        <x:v>372590</x:v>
      </x:c>
      <x:c r="Q218" s="25" t="n">
        <x:v>5684010</x:v>
      </x:c>
      <x:c r="R218" s="25" t="n">
        <x:v>0</x:v>
      </x:c>
      <x:c r="S218" s="25" t="n">
        <x:f>SUM(H218:R218)</x:f>
        <x:v>6429190</x:v>
      </x:c>
    </x:row>
    <x:row r="219">
      <x:c r="A219" s="23" t="str">
        <x:v>Noyau</x:v>
      </x:c>
      <x:c r="B219" s="23" t="str">
        <x:v>noyau_astra</x:v>
      </x:c>
      <x:c r="C219" s="23" t="str">
        <x:v>final</x:v>
      </x:c>
      <x:c r="D219" s="26" t="n">
        <x:v>19</x:v>
      </x:c>
      <x:c r="E219" s="26" t="n">
        <x:v>20</x:v>
      </x:c>
      <x:c r="F219" s="26" t="n">
        <x:v>150000000</x:v>
      </x:c>
      <x:c r="G219" s="64" t="n">
        <x:v>336</x:v>
      </x:c>
      <x:c r="H219" s="26" t="n">
        <x:v>0</x:v>
      </x:c>
      <x:c r="I219" s="26" t="n">
        <x:v>0</x:v>
      </x:c>
      <x:c r="J219" s="26" t="n">
        <x:v>0</x:v>
      </x:c>
      <x:c r="K219" s="26" t="n">
        <x:v>0</x:v>
      </x:c>
      <x:c r="L219" s="26" t="n">
        <x:v>0</x:v>
      </x:c>
      <x:c r="M219" s="26" t="n">
        <x:v>0</x:v>
      </x:c>
      <x:c r="N219" s="26" t="n">
        <x:v>0</x:v>
      </x:c>
      <x:c r="O219" s="26" t="n">
        <x:v>425000</x:v>
      </x:c>
      <x:c r="P219" s="26" t="n">
        <x:v>425000</x:v>
      </x:c>
      <x:c r="Q219" s="26" t="n">
        <x:v>6500000</x:v>
      </x:c>
      <x:c r="R219" s="26" t="n">
        <x:v>0</x:v>
      </x:c>
      <x:c r="S219" s="26" t="n">
        <x:f>SUM(H219:R219)</x:f>
        <x:v>7350000</x:v>
      </x:c>
    </x:row>
  </x:sheetData>
  <x:mergeCells>
    <x:mergeCell ref="A1:S2"/>
  </x:mergeCells>
  <x:conditionalFormatting sqref="A4:S219">
    <x:cfRule type="colorScale" priority="1">
      <x:colorScale>
        <x:cfvo type="min"/>
        <x:cfvo type="percentile" val="50"/>
        <x:cfvo type="max"/>
        <x:color rgb="FFFFFFFF"/>
        <x:color rgb="FFE0F2FE"/>
        <x:color rgb="FFFDE68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3" t="str">
        <x:v>Coût cumulé pour atteindre le niveau 20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>
      <x:c r="A4" s="15" t="str">
        <x:v>Matériau</x:v>
      </x:c>
      <x:c r="B4" s="30" t="str">
        <x:v>Type</x:v>
      </x:c>
      <x:c r="C4" s="30" t="str">
        <x:v>Niveau initial</x:v>
      </x:c>
      <x:c r="D4" s="30" t="str">
        <x:v>Étapes</x:v>
      </x:c>
      <x:c r="E4" s="30" t="str">
        <x:v>Crédits cumulés</x:v>
      </x:c>
      <x:c r="F4" s="30" t="str">
        <x:v>Cuivre</x:v>
      </x:c>
      <x:c r="G4" s="30" t="str">
        <x:v>Zinc</x:v>
      </x:c>
      <x:c r="H4" s="30" t="str">
        <x:v>Nickel</x:v>
      </x:c>
      <x:c r="I4" s="30" t="str">
        <x:v>Titane</x:v>
      </x:c>
      <x:c r="J4" s="30" t="str">
        <x:v>Silice</x:v>
      </x:c>
      <x:c r="K4" s="30" t="str">
        <x:v>Alliage</x:v>
      </x:c>
      <x:c r="L4" s="30" t="str">
        <x:v>Plaque</x:v>
      </x:c>
      <x:c r="M4" s="30" t="str">
        <x:v>Conducteur</x:v>
      </x:c>
      <x:c r="N4" s="30" t="str">
        <x:v>Blindage</x:v>
      </x:c>
      <x:c r="O4" s="30" t="str">
        <x:v>Catalyseur</x:v>
      </x:c>
      <x:c r="P4" s="30" t="str">
        <x:v>Noyau</x:v>
      </x:c>
      <x:c r="Q4" s="16" t="str">
        <x:v>Total ressources</x:v>
      </x:c>
    </x:row>
    <x:row r="5">
      <x:c r="A5" s="21" t="str">
        <x:v>Cuivre</x:v>
      </x:c>
      <x:c r="B5" s="21" t="str">
        <x:v>raw</x:v>
      </x:c>
      <x:c r="C5" s="24" t="n">
        <x:v>1</x:v>
      </x:c>
      <x:c r="D5" s="24" t="n">
        <x:v>19</x:v>
      </x:c>
      <x:c r="E5" s="24" t="n">
        <x:f>SUMIF('Coûts par niveau'!$A$5:$A$219,A5,'Coûts par niveau'!$F$5:$F$219)</x:f>
        <x:v>38567515</x:v>
      </x:c>
      <x:c r="F5" s="24" t="n">
        <x:f>SUMIF('Coûts par niveau'!$A$5:$A$219,A5,'Coûts par niveau'!$H$5:$H$219)</x:f>
        <x:v>7705949</x:v>
      </x:c>
      <x:c r="G5" s="24" t="n">
        <x:f>SUMIF('Coûts par niveau'!$A$5:$A$219,A5,'Coûts par niveau'!$I$5:$I$219)</x:f>
        <x:v>7705949</x:v>
      </x:c>
      <x:c r="H5" s="24" t="n">
        <x:f>SUMIF('Coûts par niveau'!$A$5:$A$219,A5,'Coûts par niveau'!$J$5:$J$219)</x:f>
        <x:v>0</x:v>
      </x:c>
      <x:c r="I5" s="24" t="n">
        <x:f>SUMIF('Coûts par niveau'!$A$5:$A$219,A5,'Coûts par niveau'!$K$5:$K$219)</x:f>
        <x:v>0</x:v>
      </x:c>
      <x:c r="J5" s="24" t="n">
        <x:f>SUMIF('Coûts par niveau'!$A$5:$A$219,A5,'Coûts par niveau'!$L$5:$L$219)</x:f>
        <x:v>0</x:v>
      </x:c>
      <x:c r="K5" s="24" t="n">
        <x:f>SUMIF('Coûts par niveau'!$A$5:$A$219,A5,'Coûts par niveau'!$M$5:$M$219)</x:f>
        <x:v>0</x:v>
      </x:c>
      <x:c r="L5" s="24" t="n">
        <x:f>SUMIF('Coûts par niveau'!$A$5:$A$219,A5,'Coûts par niveau'!$N$5:$N$219)</x:f>
        <x:v>0</x:v>
      </x:c>
      <x:c r="M5" s="24" t="n">
        <x:f>SUMIF('Coûts par niveau'!$A$5:$A$219,A5,'Coûts par niveau'!$O$5:$O$219)</x:f>
        <x:v>0</x:v>
      </x:c>
      <x:c r="N5" s="24" t="n">
        <x:f>SUMIF('Coûts par niveau'!$A$5:$A$219,A5,'Coûts par niveau'!$P$5:$P$219)</x:f>
        <x:v>0</x:v>
      </x:c>
      <x:c r="O5" s="24" t="n">
        <x:f>SUMIF('Coûts par niveau'!$A$5:$A$219,A5,'Coûts par niveau'!$Q$5:$Q$219)</x:f>
        <x:v>0</x:v>
      </x:c>
      <x:c r="P5" s="24" t="n">
        <x:f>SUMIF('Coûts par niveau'!$A$5:$A$219,A5,'Coûts par niveau'!$R$5:$R$219)</x:f>
        <x:v>0</x:v>
      </x:c>
      <x:c r="Q5" s="24" t="n">
        <x:f>SUM(F5:P5)</x:f>
        <x:v>15411898</x:v>
      </x:c>
    </x:row>
    <x:row r="6">
      <x:c r="A6" s="22" t="str">
        <x:v>Zinc</x:v>
      </x:c>
      <x:c r="B6" s="22" t="str">
        <x:v>raw</x:v>
      </x:c>
      <x:c r="C6" s="25" t="n">
        <x:v>1</x:v>
      </x:c>
      <x:c r="D6" s="25" t="n">
        <x:v>19</x:v>
      </x:c>
      <x:c r="E6" s="25" t="n">
        <x:f>SUMIF('Coûts par niveau'!$A$5:$A$219,A6,'Coûts par niveau'!$F$5:$F$219)</x:f>
        <x:v>38567515</x:v>
      </x:c>
      <x:c r="F6" s="25" t="n">
        <x:f>SUMIF('Coûts par niveau'!$A$5:$A$219,A6,'Coûts par niveau'!$H$5:$H$219)</x:f>
        <x:v>7705949</x:v>
      </x:c>
      <x:c r="G6" s="25" t="n">
        <x:f>SUMIF('Coûts par niveau'!$A$5:$A$219,A6,'Coûts par niveau'!$I$5:$I$219)</x:f>
        <x:v>0</x:v>
      </x:c>
      <x:c r="H6" s="25" t="n">
        <x:f>SUMIF('Coûts par niveau'!$A$5:$A$219,A6,'Coûts par niveau'!$J$5:$J$219)</x:f>
        <x:v>7705949</x:v>
      </x:c>
      <x:c r="I6" s="25" t="n">
        <x:f>SUMIF('Coûts par niveau'!$A$5:$A$219,A6,'Coûts par niveau'!$K$5:$K$219)</x:f>
        <x:v>0</x:v>
      </x:c>
      <x:c r="J6" s="25" t="n">
        <x:f>SUMIF('Coûts par niveau'!$A$5:$A$219,A6,'Coûts par niveau'!$L$5:$L$219)</x:f>
        <x:v>0</x:v>
      </x:c>
      <x:c r="K6" s="25" t="n">
        <x:f>SUMIF('Coûts par niveau'!$A$5:$A$219,A6,'Coûts par niveau'!$M$5:$M$219)</x:f>
        <x:v>0</x:v>
      </x:c>
      <x:c r="L6" s="25" t="n">
        <x:f>SUMIF('Coûts par niveau'!$A$5:$A$219,A6,'Coûts par niveau'!$N$5:$N$219)</x:f>
        <x:v>0</x:v>
      </x:c>
      <x:c r="M6" s="25" t="n">
        <x:f>SUMIF('Coûts par niveau'!$A$5:$A$219,A6,'Coûts par niveau'!$O$5:$O$219)</x:f>
        <x:v>0</x:v>
      </x:c>
      <x:c r="N6" s="25" t="n">
        <x:f>SUMIF('Coûts par niveau'!$A$5:$A$219,A6,'Coûts par niveau'!$P$5:$P$219)</x:f>
        <x:v>0</x:v>
      </x:c>
      <x:c r="O6" s="25" t="n">
        <x:f>SUMIF('Coûts par niveau'!$A$5:$A$219,A6,'Coûts par niveau'!$Q$5:$Q$219)</x:f>
        <x:v>0</x:v>
      </x:c>
      <x:c r="P6" s="25" t="n">
        <x:f>SUMIF('Coûts par niveau'!$A$5:$A$219,A6,'Coûts par niveau'!$R$5:$R$219)</x:f>
        <x:v>0</x:v>
      </x:c>
      <x:c r="Q6" s="25" t="n">
        <x:f>SUM(F6:P6)</x:f>
        <x:v>15411898</x:v>
      </x:c>
    </x:row>
    <x:row r="7">
      <x:c r="A7" s="22" t="str">
        <x:v>Nickel</x:v>
      </x:c>
      <x:c r="B7" s="22" t="str">
        <x:v>raw</x:v>
      </x:c>
      <x:c r="C7" s="25" t="n">
        <x:v>1</x:v>
      </x:c>
      <x:c r="D7" s="25" t="n">
        <x:v>19</x:v>
      </x:c>
      <x:c r="E7" s="25" t="n">
        <x:f>SUMIF('Coûts par niveau'!$A$5:$A$219,A7,'Coûts par niveau'!$F$5:$F$219)</x:f>
        <x:v>38567515</x:v>
      </x:c>
      <x:c r="F7" s="25" t="n">
        <x:f>SUMIF('Coûts par niveau'!$A$5:$A$219,A7,'Coûts par niveau'!$H$5:$H$219)</x:f>
        <x:v>0</x:v>
      </x:c>
      <x:c r="G7" s="25" t="n">
        <x:f>SUMIF('Coûts par niveau'!$A$5:$A$219,A7,'Coûts par niveau'!$I$5:$I$219)</x:f>
        <x:v>7705949</x:v>
      </x:c>
      <x:c r="H7" s="25" t="n">
        <x:f>SUMIF('Coûts par niveau'!$A$5:$A$219,A7,'Coûts par niveau'!$J$5:$J$219)</x:f>
        <x:v>0</x:v>
      </x:c>
      <x:c r="I7" s="25" t="n">
        <x:f>SUMIF('Coûts par niveau'!$A$5:$A$219,A7,'Coûts par niveau'!$K$5:$K$219)</x:f>
        <x:v>7705949</x:v>
      </x:c>
      <x:c r="J7" s="25" t="n">
        <x:f>SUMIF('Coûts par niveau'!$A$5:$A$219,A7,'Coûts par niveau'!$L$5:$L$219)</x:f>
        <x:v>0</x:v>
      </x:c>
      <x:c r="K7" s="25" t="n">
        <x:f>SUMIF('Coûts par niveau'!$A$5:$A$219,A7,'Coûts par niveau'!$M$5:$M$219)</x:f>
        <x:v>0</x:v>
      </x:c>
      <x:c r="L7" s="25" t="n">
        <x:f>SUMIF('Coûts par niveau'!$A$5:$A$219,A7,'Coûts par niveau'!$N$5:$N$219)</x:f>
        <x:v>0</x:v>
      </x:c>
      <x:c r="M7" s="25" t="n">
        <x:f>SUMIF('Coûts par niveau'!$A$5:$A$219,A7,'Coûts par niveau'!$O$5:$O$219)</x:f>
        <x:v>0</x:v>
      </x:c>
      <x:c r="N7" s="25" t="n">
        <x:f>SUMIF('Coûts par niveau'!$A$5:$A$219,A7,'Coûts par niveau'!$P$5:$P$219)</x:f>
        <x:v>0</x:v>
      </x:c>
      <x:c r="O7" s="25" t="n">
        <x:f>SUMIF('Coûts par niveau'!$A$5:$A$219,A7,'Coûts par niveau'!$Q$5:$Q$219)</x:f>
        <x:v>0</x:v>
      </x:c>
      <x:c r="P7" s="25" t="n">
        <x:f>SUMIF('Coûts par niveau'!$A$5:$A$219,A7,'Coûts par niveau'!$R$5:$R$219)</x:f>
        <x:v>0</x:v>
      </x:c>
      <x:c r="Q7" s="25" t="n">
        <x:f>SUM(F7:P7)</x:f>
        <x:v>15411898</x:v>
      </x:c>
    </x:row>
    <x:row r="8">
      <x:c r="A8" s="22" t="str">
        <x:v>Titane</x:v>
      </x:c>
      <x:c r="B8" s="22" t="str">
        <x:v>raw</x:v>
      </x:c>
      <x:c r="C8" s="25" t="n">
        <x:v>1</x:v>
      </x:c>
      <x:c r="D8" s="25" t="n">
        <x:v>19</x:v>
      </x:c>
      <x:c r="E8" s="25" t="n">
        <x:f>SUMIF('Coûts par niveau'!$A$5:$A$219,A8,'Coûts par niveau'!$F$5:$F$219)</x:f>
        <x:v>38567515</x:v>
      </x:c>
      <x:c r="F8" s="25" t="n">
        <x:f>SUMIF('Coûts par niveau'!$A$5:$A$219,A8,'Coûts par niveau'!$H$5:$H$219)</x:f>
        <x:v>0</x:v>
      </x:c>
      <x:c r="G8" s="25" t="n">
        <x:f>SUMIF('Coûts par niveau'!$A$5:$A$219,A8,'Coûts par niveau'!$I$5:$I$219)</x:f>
        <x:v>0</x:v>
      </x:c>
      <x:c r="H8" s="25" t="n">
        <x:f>SUMIF('Coûts par niveau'!$A$5:$A$219,A8,'Coûts par niveau'!$J$5:$J$219)</x:f>
        <x:v>7705949</x:v>
      </x:c>
      <x:c r="I8" s="25" t="n">
        <x:f>SUMIF('Coûts par niveau'!$A$5:$A$219,A8,'Coûts par niveau'!$K$5:$K$219)</x:f>
        <x:v>0</x:v>
      </x:c>
      <x:c r="J8" s="25" t="n">
        <x:f>SUMIF('Coûts par niveau'!$A$5:$A$219,A8,'Coûts par niveau'!$L$5:$L$219)</x:f>
        <x:v>7705949</x:v>
      </x:c>
      <x:c r="K8" s="25" t="n">
        <x:f>SUMIF('Coûts par niveau'!$A$5:$A$219,A8,'Coûts par niveau'!$M$5:$M$219)</x:f>
        <x:v>0</x:v>
      </x:c>
      <x:c r="L8" s="25" t="n">
        <x:f>SUMIF('Coûts par niveau'!$A$5:$A$219,A8,'Coûts par niveau'!$N$5:$N$219)</x:f>
        <x:v>0</x:v>
      </x:c>
      <x:c r="M8" s="25" t="n">
        <x:f>SUMIF('Coûts par niveau'!$A$5:$A$219,A8,'Coûts par niveau'!$O$5:$O$219)</x:f>
        <x:v>0</x:v>
      </x:c>
      <x:c r="N8" s="25" t="n">
        <x:f>SUMIF('Coûts par niveau'!$A$5:$A$219,A8,'Coûts par niveau'!$P$5:$P$219)</x:f>
        <x:v>0</x:v>
      </x:c>
      <x:c r="O8" s="25" t="n">
        <x:f>SUMIF('Coûts par niveau'!$A$5:$A$219,A8,'Coûts par niveau'!$Q$5:$Q$219)</x:f>
        <x:v>0</x:v>
      </x:c>
      <x:c r="P8" s="25" t="n">
        <x:f>SUMIF('Coûts par niveau'!$A$5:$A$219,A8,'Coûts par niveau'!$R$5:$R$219)</x:f>
        <x:v>0</x:v>
      </x:c>
      <x:c r="Q8" s="25" t="n">
        <x:f>SUM(F8:P8)</x:f>
        <x:v>15411898</x:v>
      </x:c>
    </x:row>
    <x:row r="9">
      <x:c r="A9" s="22" t="str">
        <x:v>Silice</x:v>
      </x:c>
      <x:c r="B9" s="22" t="str">
        <x:v>raw</x:v>
      </x:c>
      <x:c r="C9" s="25" t="n">
        <x:v>1</x:v>
      </x:c>
      <x:c r="D9" s="25" t="n">
        <x:v>19</x:v>
      </x:c>
      <x:c r="E9" s="25" t="n">
        <x:f>SUMIF('Coûts par niveau'!$A$5:$A$219,A9,'Coûts par niveau'!$F$5:$F$219)</x:f>
        <x:v>38567515</x:v>
      </x:c>
      <x:c r="F9" s="25" t="n">
        <x:f>SUMIF('Coûts par niveau'!$A$5:$A$219,A9,'Coûts par niveau'!$H$5:$H$219)</x:f>
        <x:v>0</x:v>
      </x:c>
      <x:c r="G9" s="25" t="n">
        <x:f>SUMIF('Coûts par niveau'!$A$5:$A$219,A9,'Coûts par niveau'!$I$5:$I$219)</x:f>
        <x:v>0</x:v>
      </x:c>
      <x:c r="H9" s="25" t="n">
        <x:f>SUMIF('Coûts par niveau'!$A$5:$A$219,A9,'Coûts par niveau'!$J$5:$J$219)</x:f>
        <x:v>0</x:v>
      </x:c>
      <x:c r="I9" s="25" t="n">
        <x:f>SUMIF('Coûts par niveau'!$A$5:$A$219,A9,'Coûts par niveau'!$K$5:$K$219)</x:f>
        <x:v>7705949</x:v>
      </x:c>
      <x:c r="J9" s="25" t="n">
        <x:f>SUMIF('Coûts par niveau'!$A$5:$A$219,A9,'Coûts par niveau'!$L$5:$L$219)</x:f>
        <x:v>7705949</x:v>
      </x:c>
      <x:c r="K9" s="25" t="n">
        <x:f>SUMIF('Coûts par niveau'!$A$5:$A$219,A9,'Coûts par niveau'!$M$5:$M$219)</x:f>
        <x:v>0</x:v>
      </x:c>
      <x:c r="L9" s="25" t="n">
        <x:f>SUMIF('Coûts par niveau'!$A$5:$A$219,A9,'Coûts par niveau'!$N$5:$N$219)</x:f>
        <x:v>0</x:v>
      </x:c>
      <x:c r="M9" s="25" t="n">
        <x:f>SUMIF('Coûts par niveau'!$A$5:$A$219,A9,'Coûts par niveau'!$O$5:$O$219)</x:f>
        <x:v>0</x:v>
      </x:c>
      <x:c r="N9" s="25" t="n">
        <x:f>SUMIF('Coûts par niveau'!$A$5:$A$219,A9,'Coûts par niveau'!$P$5:$P$219)</x:f>
        <x:v>0</x:v>
      </x:c>
      <x:c r="O9" s="25" t="n">
        <x:f>SUMIF('Coûts par niveau'!$A$5:$A$219,A9,'Coûts par niveau'!$Q$5:$Q$219)</x:f>
        <x:v>0</x:v>
      </x:c>
      <x:c r="P9" s="25" t="n">
        <x:f>SUMIF('Coûts par niveau'!$A$5:$A$219,A9,'Coûts par niveau'!$R$5:$R$219)</x:f>
        <x:v>0</x:v>
      </x:c>
      <x:c r="Q9" s="25" t="n">
        <x:f>SUM(F9:P9)</x:f>
        <x:v>15411898</x:v>
      </x:c>
    </x:row>
    <x:row r="10">
      <x:c r="A10" s="22" t="str">
        <x:v>Alliage</x:v>
      </x:c>
      <x:c r="B10" s="22" t="str">
        <x:v>refined</x:v>
      </x:c>
      <x:c r="C10" s="25" t="n">
        <x:v>0</x:v>
      </x:c>
      <x:c r="D10" s="25" t="n">
        <x:v>20</x:v>
      </x:c>
      <x:c r="E10" s="25" t="n">
        <x:f>SUMIF('Coûts par niveau'!$A$5:$A$219,A10,'Coûts par niveau'!$F$5:$F$219)</x:f>
        <x:v>155950569</x:v>
      </x:c>
      <x:c r="F10" s="25" t="n">
        <x:f>SUMIF('Coûts par niveau'!$A$5:$A$219,A10,'Coûts par niveau'!$H$5:$H$219)</x:f>
        <x:v>10096570</x:v>
      </x:c>
      <x:c r="G10" s="25" t="n">
        <x:f>SUMIF('Coûts par niveau'!$A$5:$A$219,A10,'Coûts par niveau'!$I$5:$I$219)</x:f>
        <x:v>10096570</x:v>
      </x:c>
      <x:c r="H10" s="25" t="n">
        <x:f>SUMIF('Coûts par niveau'!$A$5:$A$219,A10,'Coûts par niveau'!$J$5:$J$219)</x:f>
        <x:v>0</x:v>
      </x:c>
      <x:c r="I10" s="25" t="n">
        <x:f>SUMIF('Coûts par niveau'!$A$5:$A$219,A10,'Coûts par niveau'!$K$5:$K$219)</x:f>
        <x:v>0</x:v>
      </x:c>
      <x:c r="J10" s="25" t="n">
        <x:f>SUMIF('Coûts par niveau'!$A$5:$A$219,A10,'Coûts par niveau'!$L$5:$L$219)</x:f>
        <x:v>0</x:v>
      </x:c>
      <x:c r="K10" s="25" t="n">
        <x:f>SUMIF('Coûts par niveau'!$A$5:$A$219,A10,'Coûts par niveau'!$M$5:$M$219)</x:f>
        <x:v>0</x:v>
      </x:c>
      <x:c r="L10" s="25" t="n">
        <x:f>SUMIF('Coûts par niveau'!$A$5:$A$219,A10,'Coûts par niveau'!$N$5:$N$219)</x:f>
        <x:v>0</x:v>
      </x:c>
      <x:c r="M10" s="25" t="n">
        <x:f>SUMIF('Coûts par niveau'!$A$5:$A$219,A10,'Coûts par niveau'!$O$5:$O$219)</x:f>
        <x:v>0</x:v>
      </x:c>
      <x:c r="N10" s="25" t="n">
        <x:f>SUMIF('Coûts par niveau'!$A$5:$A$219,A10,'Coûts par niveau'!$P$5:$P$219)</x:f>
        <x:v>0</x:v>
      </x:c>
      <x:c r="O10" s="25" t="n">
        <x:f>SUMIF('Coûts par niveau'!$A$5:$A$219,A10,'Coûts par niveau'!$Q$5:$Q$219)</x:f>
        <x:v>0</x:v>
      </x:c>
      <x:c r="P10" s="25" t="n">
        <x:f>SUMIF('Coûts par niveau'!$A$5:$A$219,A10,'Coûts par niveau'!$R$5:$R$219)</x:f>
        <x:v>0</x:v>
      </x:c>
      <x:c r="Q10" s="25" t="n">
        <x:f>SUM(F10:P10)</x:f>
        <x:v>20193140</x:v>
      </x:c>
    </x:row>
    <x:row r="11">
      <x:c r="A11" s="22" t="str">
        <x:v>Plaque</x:v>
      </x:c>
      <x:c r="B11" s="22" t="str">
        <x:v>refined</x:v>
      </x:c>
      <x:c r="C11" s="25" t="n">
        <x:v>0</x:v>
      </x:c>
      <x:c r="D11" s="25" t="n">
        <x:v>20</x:v>
      </x:c>
      <x:c r="E11" s="25" t="n">
        <x:f>SUMIF('Coûts par niveau'!$A$5:$A$219,A11,'Coûts par niveau'!$F$5:$F$219)</x:f>
        <x:v>155950569</x:v>
      </x:c>
      <x:c r="F11" s="25" t="n">
        <x:f>SUMIF('Coûts par niveau'!$A$5:$A$219,A11,'Coûts par niveau'!$H$5:$H$219)</x:f>
        <x:v>0</x:v>
      </x:c>
      <x:c r="G11" s="25" t="n">
        <x:f>SUMIF('Coûts par niveau'!$A$5:$A$219,A11,'Coûts par niveau'!$I$5:$I$219)</x:f>
        <x:v>0</x:v>
      </x:c>
      <x:c r="H11" s="25" t="n">
        <x:f>SUMIF('Coûts par niveau'!$A$5:$A$219,A11,'Coûts par niveau'!$J$5:$J$219)</x:f>
        <x:v>0</x:v>
      </x:c>
      <x:c r="I11" s="25" t="n">
        <x:f>SUMIF('Coûts par niveau'!$A$5:$A$219,A11,'Coûts par niveau'!$K$5:$K$219)</x:f>
        <x:v>10096570</x:v>
      </x:c>
      <x:c r="J11" s="25" t="n">
        <x:f>SUMIF('Coûts par niveau'!$A$5:$A$219,A11,'Coûts par niveau'!$L$5:$L$219)</x:f>
        <x:v>10096570</x:v>
      </x:c>
      <x:c r="K11" s="25" t="n">
        <x:f>SUMIF('Coûts par niveau'!$A$5:$A$219,A11,'Coûts par niveau'!$M$5:$M$219)</x:f>
        <x:v>0</x:v>
      </x:c>
      <x:c r="L11" s="25" t="n">
        <x:f>SUMIF('Coûts par niveau'!$A$5:$A$219,A11,'Coûts par niveau'!$N$5:$N$219)</x:f>
        <x:v>0</x:v>
      </x:c>
      <x:c r="M11" s="25" t="n">
        <x:f>SUMIF('Coûts par niveau'!$A$5:$A$219,A11,'Coûts par niveau'!$O$5:$O$219)</x:f>
        <x:v>0</x:v>
      </x:c>
      <x:c r="N11" s="25" t="n">
        <x:f>SUMIF('Coûts par niveau'!$A$5:$A$219,A11,'Coûts par niveau'!$P$5:$P$219)</x:f>
        <x:v>0</x:v>
      </x:c>
      <x:c r="O11" s="25" t="n">
        <x:f>SUMIF('Coûts par niveau'!$A$5:$A$219,A11,'Coûts par niveau'!$Q$5:$Q$219)</x:f>
        <x:v>0</x:v>
      </x:c>
      <x:c r="P11" s="25" t="n">
        <x:f>SUMIF('Coûts par niveau'!$A$5:$A$219,A11,'Coûts par niveau'!$R$5:$R$219)</x:f>
        <x:v>0</x:v>
      </x:c>
      <x:c r="Q11" s="25" t="n">
        <x:f>SUM(F11:P11)</x:f>
        <x:v>20193140</x:v>
      </x:c>
    </x:row>
    <x:row r="12">
      <x:c r="A12" s="22" t="str">
        <x:v>Conducteur</x:v>
      </x:c>
      <x:c r="B12" s="22" t="str">
        <x:v>advanced</x:v>
      </x:c>
      <x:c r="C12" s="25" t="n">
        <x:v>0</x:v>
      </x:c>
      <x:c r="D12" s="25" t="n">
        <x:v>20</x:v>
      </x:c>
      <x:c r="E12" s="25" t="n">
        <x:f>SUMIF('Coûts par niveau'!$A$5:$A$219,A12,'Coûts par niveau'!$F$5:$F$219)</x:f>
        <x:v>364328312</x:v>
      </x:c>
      <x:c r="F12" s="25" t="n">
        <x:f>SUMIF('Coûts par niveau'!$A$5:$A$219,A12,'Coûts par niveau'!$H$5:$H$219)</x:f>
        <x:v>0</x:v>
      </x:c>
      <x:c r="G12" s="25" t="n">
        <x:f>SUMIF('Coûts par niveau'!$A$5:$A$219,A12,'Coûts par niveau'!$I$5:$I$219)</x:f>
        <x:v>0</x:v>
      </x:c>
      <x:c r="H12" s="25" t="n">
        <x:f>SUMIF('Coûts par niveau'!$A$5:$A$219,A12,'Coûts par niveau'!$J$5:$J$219)</x:f>
        <x:v>0</x:v>
      </x:c>
      <x:c r="I12" s="25" t="n">
        <x:f>SUMIF('Coûts par niveau'!$A$5:$A$219,A12,'Coûts par niveau'!$K$5:$K$219)</x:f>
        <x:v>0</x:v>
      </x:c>
      <x:c r="J12" s="25" t="n">
        <x:f>SUMIF('Coûts par niveau'!$A$5:$A$219,A12,'Coûts par niveau'!$L$5:$L$219)</x:f>
        <x:v>0</x:v>
      </x:c>
      <x:c r="K12" s="25" t="n">
        <x:f>SUMIF('Coûts par niveau'!$A$5:$A$219,A12,'Coûts par niveau'!$M$5:$M$219)</x:f>
        <x:v>11013570</x:v>
      </x:c>
      <x:c r="L12" s="25" t="n">
        <x:f>SUMIF('Coûts par niveau'!$A$5:$A$219,A12,'Coûts par niveau'!$N$5:$N$219)</x:f>
        <x:v>0</x:v>
      </x:c>
      <x:c r="M12" s="25" t="n">
        <x:f>SUMIF('Coûts par niveau'!$A$5:$A$219,A12,'Coûts par niveau'!$O$5:$O$219)</x:f>
        <x:v>0</x:v>
      </x:c>
      <x:c r="N12" s="25" t="n">
        <x:f>SUMIF('Coûts par niveau'!$A$5:$A$219,A12,'Coûts par niveau'!$P$5:$P$219)</x:f>
        <x:v>0</x:v>
      </x:c>
      <x:c r="O12" s="25" t="n">
        <x:f>SUMIF('Coûts par niveau'!$A$5:$A$219,A12,'Coûts par niveau'!$Q$5:$Q$219)</x:f>
        <x:v>5506785</x:v>
      </x:c>
      <x:c r="P12" s="25" t="n">
        <x:f>SUMIF('Coûts par niveau'!$A$5:$A$219,A12,'Coûts par niveau'!$R$5:$R$219)</x:f>
        <x:v>0</x:v>
      </x:c>
      <x:c r="Q12" s="25" t="n">
        <x:f>SUM(F12:P12)</x:f>
        <x:v>16520355</x:v>
      </x:c>
    </x:row>
    <x:row r="13">
      <x:c r="A13" s="22" t="str">
        <x:v>Blindage</x:v>
      </x:c>
      <x:c r="B13" s="22" t="str">
        <x:v>advanced</x:v>
      </x:c>
      <x:c r="C13" s="25" t="n">
        <x:v>0</x:v>
      </x:c>
      <x:c r="D13" s="25" t="n">
        <x:v>20</x:v>
      </x:c>
      <x:c r="E13" s="25" t="n">
        <x:f>SUMIF('Coûts par niveau'!$A$5:$A$219,A13,'Coûts par niveau'!$F$5:$F$219)</x:f>
        <x:v>364328312</x:v>
      </x:c>
      <x:c r="F13" s="25" t="n">
        <x:f>SUMIF('Coûts par niveau'!$A$5:$A$219,A13,'Coûts par niveau'!$H$5:$H$219)</x:f>
        <x:v>0</x:v>
      </x:c>
      <x:c r="G13" s="25" t="n">
        <x:f>SUMIF('Coûts par niveau'!$A$5:$A$219,A13,'Coûts par niveau'!$I$5:$I$219)</x:f>
        <x:v>0</x:v>
      </x:c>
      <x:c r="H13" s="25" t="n">
        <x:f>SUMIF('Coûts par niveau'!$A$5:$A$219,A13,'Coûts par niveau'!$J$5:$J$219)</x:f>
        <x:v>0</x:v>
      </x:c>
      <x:c r="I13" s="25" t="n">
        <x:f>SUMIF('Coûts par niveau'!$A$5:$A$219,A13,'Coûts par niveau'!$K$5:$K$219)</x:f>
        <x:v>0</x:v>
      </x:c>
      <x:c r="J13" s="25" t="n">
        <x:f>SUMIF('Coûts par niveau'!$A$5:$A$219,A13,'Coûts par niveau'!$L$5:$L$219)</x:f>
        <x:v>0</x:v>
      </x:c>
      <x:c r="K13" s="25" t="n">
        <x:f>SUMIF('Coûts par niveau'!$A$5:$A$219,A13,'Coûts par niveau'!$M$5:$M$219)</x:f>
        <x:v>0</x:v>
      </x:c>
      <x:c r="L13" s="25" t="n">
        <x:f>SUMIF('Coûts par niveau'!$A$5:$A$219,A13,'Coûts par niveau'!$N$5:$N$219)</x:f>
        <x:v>11013570</x:v>
      </x:c>
      <x:c r="M13" s="25" t="n">
        <x:f>SUMIF('Coûts par niveau'!$A$5:$A$219,A13,'Coûts par niveau'!$O$5:$O$219)</x:f>
        <x:v>0</x:v>
      </x:c>
      <x:c r="N13" s="25" t="n">
        <x:f>SUMIF('Coûts par niveau'!$A$5:$A$219,A13,'Coûts par niveau'!$P$5:$P$219)</x:f>
        <x:v>0</x:v>
      </x:c>
      <x:c r="O13" s="25" t="n">
        <x:f>SUMIF('Coûts par niveau'!$A$5:$A$219,A13,'Coûts par niveau'!$Q$5:$Q$219)</x:f>
        <x:v>5506785</x:v>
      </x:c>
      <x:c r="P13" s="25" t="n">
        <x:f>SUMIF('Coûts par niveau'!$A$5:$A$219,A13,'Coûts par niveau'!$R$5:$R$219)</x:f>
        <x:v>0</x:v>
      </x:c>
      <x:c r="Q13" s="25" t="n">
        <x:f>SUM(F13:P13)</x:f>
        <x:v>16520355</x:v>
      </x:c>
    </x:row>
    <x:row r="14">
      <x:c r="A14" s="22" t="str">
        <x:v>Catalyseur</x:v>
      </x:c>
      <x:c r="B14" s="22" t="str">
        <x:v>special</x:v>
      </x:c>
      <x:c r="C14" s="25" t="n">
        <x:v>0</x:v>
      </x:c>
      <x:c r="D14" s="25" t="n">
        <x:v>20</x:v>
      </x:c>
      <x:c r="E14" s="25" t="n">
        <x:f>SUMIF('Coûts par niveau'!$A$5:$A$219,A14,'Coûts par niveau'!$F$5:$F$219)</x:f>
        <x:v>185598375</x:v>
      </x:c>
      <x:c r="F14" s="25" t="n">
        <x:f>SUMIF('Coûts par niveau'!$A$5:$A$219,A14,'Coûts par niveau'!$H$5:$H$219)</x:f>
        <x:v>0</x:v>
      </x:c>
      <x:c r="G14" s="25" t="n">
        <x:f>SUMIF('Coûts par niveau'!$A$5:$A$219,A14,'Coûts par niveau'!$I$5:$I$219)</x:f>
        <x:v>10011060</x:v>
      </x:c>
      <x:c r="H14" s="25" t="n">
        <x:f>SUMIF('Coûts par niveau'!$A$5:$A$219,A14,'Coûts par niveau'!$J$5:$J$219)</x:f>
        <x:v>10011060</x:v>
      </x:c>
      <x:c r="I14" s="25" t="n">
        <x:f>SUMIF('Coûts par niveau'!$A$5:$A$219,A14,'Coûts par niveau'!$K$5:$K$219)</x:f>
        <x:v>10011060</x:v>
      </x:c>
      <x:c r="J14" s="25" t="n">
        <x:f>SUMIF('Coûts par niveau'!$A$5:$A$219,A14,'Coûts par niveau'!$L$5:$L$219)</x:f>
        <x:v>0</x:v>
      </x:c>
      <x:c r="K14" s="25" t="n">
        <x:f>SUMIF('Coûts par niveau'!$A$5:$A$219,A14,'Coûts par niveau'!$M$5:$M$219)</x:f>
        <x:v>0</x:v>
      </x:c>
      <x:c r="L14" s="25" t="n">
        <x:f>SUMIF('Coûts par niveau'!$A$5:$A$219,A14,'Coûts par niveau'!$N$5:$N$219)</x:f>
        <x:v>0</x:v>
      </x:c>
      <x:c r="M14" s="25" t="n">
        <x:f>SUMIF('Coûts par niveau'!$A$5:$A$219,A14,'Coûts par niveau'!$O$5:$O$219)</x:f>
        <x:v>0</x:v>
      </x:c>
      <x:c r="N14" s="25" t="n">
        <x:f>SUMIF('Coûts par niveau'!$A$5:$A$219,A14,'Coûts par niveau'!$P$5:$P$219)</x:f>
        <x:v>0</x:v>
      </x:c>
      <x:c r="O14" s="25" t="n">
        <x:f>SUMIF('Coûts par niveau'!$A$5:$A$219,A14,'Coûts par niveau'!$Q$5:$Q$219)</x:f>
        <x:v>0</x:v>
      </x:c>
      <x:c r="P14" s="25" t="n">
        <x:f>SUMIF('Coûts par niveau'!$A$5:$A$219,A14,'Coûts par niveau'!$R$5:$R$219)</x:f>
        <x:v>0</x:v>
      </x:c>
      <x:c r="Q14" s="25" t="n">
        <x:f>SUM(F14:P14)</x:f>
        <x:v>30033180</x:v>
      </x:c>
    </x:row>
    <x:row r="15">
      <x:c r="A15" s="23" t="str">
        <x:v>Noyau</x:v>
      </x:c>
      <x:c r="B15" s="23" t="str">
        <x:v>final</x:v>
      </x:c>
      <x:c r="C15" s="26" t="n">
        <x:v>0</x:v>
      </x:c>
      <x:c r="D15" s="26" t="n">
        <x:v>20</x:v>
      </x:c>
      <x:c r="E15" s="26" t="n">
        <x:f>SUMIF('Coûts par niveau'!$A$5:$A$219,A15,'Coûts par niveau'!$F$5:$F$219)</x:f>
        <x:v>889661251</x:v>
      </x:c>
      <x:c r="F15" s="26" t="n">
        <x:f>SUMIF('Coûts par niveau'!$A$5:$A$219,A15,'Coûts par niveau'!$H$5:$H$219)</x:f>
        <x:v>0</x:v>
      </x:c>
      <x:c r="G15" s="26" t="n">
        <x:f>SUMIF('Coûts par niveau'!$A$5:$A$219,A15,'Coûts par niveau'!$I$5:$I$219)</x:f>
        <x:v>0</x:v>
      </x:c>
      <x:c r="H15" s="26" t="n">
        <x:f>SUMIF('Coûts par niveau'!$A$5:$A$219,A15,'Coûts par niveau'!$J$5:$J$219)</x:f>
        <x:v>0</x:v>
      </x:c>
      <x:c r="I15" s="26" t="n">
        <x:f>SUMIF('Coûts par niveau'!$A$5:$A$219,A15,'Coûts par niveau'!$K$5:$K$219)</x:f>
        <x:v>0</x:v>
      </x:c>
      <x:c r="J15" s="26" t="n">
        <x:f>SUMIF('Coûts par niveau'!$A$5:$A$219,A15,'Coûts par niveau'!$L$5:$L$219)</x:f>
        <x:v>0</x:v>
      </x:c>
      <x:c r="K15" s="26" t="n">
        <x:f>SUMIF('Coûts par niveau'!$A$5:$A$219,A15,'Coûts par niveau'!$M$5:$M$219)</x:f>
        <x:v>0</x:v>
      </x:c>
      <x:c r="L15" s="26" t="n">
        <x:f>SUMIF('Coûts par niveau'!$A$5:$A$219,A15,'Coûts par niveau'!$N$5:$N$219)</x:f>
        <x:v>0</x:v>
      </x:c>
      <x:c r="M15" s="26" t="n">
        <x:f>SUMIF('Coûts par niveau'!$A$5:$A$219,A15,'Coûts par niveau'!$O$5:$O$219)</x:f>
        <x:v>2613630</x:v>
      </x:c>
      <x:c r="N15" s="26" t="n">
        <x:f>SUMIF('Coûts par niveau'!$A$5:$A$219,A15,'Coûts par niveau'!$P$5:$P$219)</x:f>
        <x:v>2613630</x:v>
      </x:c>
      <x:c r="O15" s="26" t="n">
        <x:f>SUMIF('Coûts par niveau'!$A$5:$A$219,A15,'Coûts par niveau'!$Q$5:$Q$219)</x:f>
        <x:v>38359060</x:v>
      </x:c>
      <x:c r="P15" s="26" t="n">
        <x:f>SUMIF('Coûts par niveau'!$A$5:$A$219,A15,'Coûts par niveau'!$R$5:$R$219)</x:f>
        <x:v>0</x:v>
      </x:c>
      <x:c r="Q15" s="26" t="n">
        <x:f>SUM(F15:P15)</x:f>
        <x:v>43586320</x:v>
      </x:c>
    </x:row>
  </x:sheetData>
  <x:mergeCells>
    <x:mergeCell ref="A1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Production horaire par niveau et par type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15" t="str">
        <x:v>Niveau</x:v>
      </x:c>
      <x:c r="B4" s="30" t="str">
        <x:v>Brut / h</x:v>
      </x:c>
      <x:c r="C4" s="30" t="str">
        <x:v>Raffiné / h</x:v>
      </x:c>
      <x:c r="D4" s="30" t="str">
        <x:v>Spécial / h</x:v>
      </x:c>
      <x:c r="E4" s="30" t="str">
        <x:v>Avancé / h</x:v>
      </x:c>
      <x:c r="F4" s="16" t="str">
        <x:v>Final / h</x:v>
      </x:c>
    </x:row>
    <x:row r="5">
      <x:c r="A5" s="24" t="n">
        <x:v>0</x:v>
      </x:c>
      <x:c r="B5" s="24" t="n">
        <x:v>0</x:v>
      </x:c>
      <x:c r="C5" s="24" t="n">
        <x:v>0</x:v>
      </x:c>
      <x:c r="D5" s="24" t="n">
        <x:v>0</x:v>
      </x:c>
      <x:c r="E5" s="24" t="n">
        <x:v>0</x:v>
      </x:c>
      <x:c r="F5" s="24" t="n">
        <x:v>0</x:v>
      </x:c>
    </x:row>
    <x:row r="6">
      <x:c r="A6" s="25" t="n">
        <x:v>1</x:v>
      </x:c>
      <x:c r="B6" s="25" t="n">
        <x:v>1500</x:v>
      </x:c>
      <x:c r="C6" s="25" t="n">
        <x:v>150</x:v>
      </x:c>
      <x:c r="D6" s="25" t="n">
        <x:v>150</x:v>
      </x:c>
      <x:c r="E6" s="25" t="n">
        <x:v>15</x:v>
      </x:c>
      <x:c r="F6" s="25" t="n">
        <x:v>2</x:v>
      </x:c>
    </x:row>
    <x:row r="7">
      <x:c r="A7" s="25" t="n">
        <x:v>2</x:v>
      </x:c>
      <x:c r="B7" s="25" t="n">
        <x:v>2943</x:v>
      </x:c>
      <x:c r="C7" s="25" t="n">
        <x:v>294</x:v>
      </x:c>
      <x:c r="D7" s="25" t="n">
        <x:v>294</x:v>
      </x:c>
      <x:c r="E7" s="25" t="n">
        <x:v>29</x:v>
      </x:c>
      <x:c r="F7" s="25" t="n">
        <x:v>3</x:v>
      </x:c>
    </x:row>
    <x:row r="8">
      <x:c r="A8" s="25" t="n">
        <x:v>3</x:v>
      </x:c>
      <x:c r="B8" s="25" t="n">
        <x:v>5726</x:v>
      </x:c>
      <x:c r="C8" s="25" t="n">
        <x:v>573</x:v>
      </x:c>
      <x:c r="D8" s="25" t="n">
        <x:v>573</x:v>
      </x:c>
      <x:c r="E8" s="25" t="n">
        <x:v>57</x:v>
      </x:c>
      <x:c r="F8" s="25" t="n">
        <x:v>6</x:v>
      </x:c>
    </x:row>
    <x:row r="9">
      <x:c r="A9" s="25" t="n">
        <x:v>4</x:v>
      </x:c>
      <x:c r="B9" s="25" t="n">
        <x:v>9424</x:v>
      </x:c>
      <x:c r="C9" s="25" t="n">
        <x:v>942</x:v>
      </x:c>
      <x:c r="D9" s="25" t="n">
        <x:v>942</x:v>
      </x:c>
      <x:c r="E9" s="25" t="n">
        <x:v>94</x:v>
      </x:c>
      <x:c r="F9" s="25" t="n">
        <x:v>10</x:v>
      </x:c>
    </x:row>
    <x:row r="10">
      <x:c r="A10" s="25" t="n">
        <x:v>5</x:v>
      </x:c>
      <x:c r="B10" s="25" t="n">
        <x:v>13876</x:v>
      </x:c>
      <x:c r="C10" s="25" t="n">
        <x:v>1388</x:v>
      </x:c>
      <x:c r="D10" s="25" t="n">
        <x:v>1388</x:v>
      </x:c>
      <x:c r="E10" s="25" t="n">
        <x:v>139</x:v>
      </x:c>
      <x:c r="F10" s="25" t="n">
        <x:v>14</x:v>
      </x:c>
    </x:row>
    <x:row r="11">
      <x:c r="A11" s="25" t="n">
        <x:v>6</x:v>
      </x:c>
      <x:c r="B11" s="25" t="n">
        <x:v>18990</x:v>
      </x:c>
      <x:c r="C11" s="25" t="n">
        <x:v>1899</x:v>
      </x:c>
      <x:c r="D11" s="25" t="n">
        <x:v>1899</x:v>
      </x:c>
      <x:c r="E11" s="25" t="n">
        <x:v>190</x:v>
      </x:c>
      <x:c r="F11" s="25" t="n">
        <x:v>19</x:v>
      </x:c>
    </x:row>
    <x:row r="12">
      <x:c r="A12" s="25" t="n">
        <x:v>7</x:v>
      </x:c>
      <x:c r="B12" s="25" t="n">
        <x:v>24702</x:v>
      </x:c>
      <x:c r="C12" s="25" t="n">
        <x:v>2470</x:v>
      </x:c>
      <x:c r="D12" s="25" t="n">
        <x:v>2470</x:v>
      </x:c>
      <x:c r="E12" s="25" t="n">
        <x:v>247</x:v>
      </x:c>
      <x:c r="F12" s="25" t="n">
        <x:v>25</x:v>
      </x:c>
    </x:row>
    <x:row r="13">
      <x:c r="A13" s="25" t="n">
        <x:v>8</x:v>
      </x:c>
      <x:c r="B13" s="25" t="n">
        <x:v>30963</x:v>
      </x:c>
      <x:c r="C13" s="25" t="n">
        <x:v>3096</x:v>
      </x:c>
      <x:c r="D13" s="25" t="n">
        <x:v>3096</x:v>
      </x:c>
      <x:c r="E13" s="25" t="n">
        <x:v>310</x:v>
      </x:c>
      <x:c r="F13" s="25" t="n">
        <x:v>31</x:v>
      </x:c>
    </x:row>
    <x:row r="14">
      <x:c r="A14" s="25" t="n">
        <x:v>9</x:v>
      </x:c>
      <x:c r="B14" s="25" t="n">
        <x:v>37739</x:v>
      </x:c>
      <x:c r="C14" s="25" t="n">
        <x:v>3774</x:v>
      </x:c>
      <x:c r="D14" s="25" t="n">
        <x:v>3774</x:v>
      </x:c>
      <x:c r="E14" s="25" t="n">
        <x:v>377</x:v>
      </x:c>
      <x:c r="F14" s="25" t="n">
        <x:v>38</x:v>
      </x:c>
    </x:row>
    <x:row r="15">
      <x:c r="A15" s="25" t="n">
        <x:v>10</x:v>
      </x:c>
      <x:c r="B15" s="25" t="n">
        <x:v>44997</x:v>
      </x:c>
      <x:c r="C15" s="25" t="n">
        <x:v>4500</x:v>
      </x:c>
      <x:c r="D15" s="25" t="n">
        <x:v>4500</x:v>
      </x:c>
      <x:c r="E15" s="25" t="n">
        <x:v>450</x:v>
      </x:c>
      <x:c r="F15" s="25" t="n">
        <x:v>45</x:v>
      </x:c>
    </x:row>
    <x:row r="16">
      <x:c r="A16" s="25" t="n">
        <x:v>11</x:v>
      </x:c>
      <x:c r="B16" s="25" t="n">
        <x:v>52713</x:v>
      </x:c>
      <x:c r="C16" s="25" t="n">
        <x:v>5271</x:v>
      </x:c>
      <x:c r="D16" s="25" t="n">
        <x:v>5271</x:v>
      </x:c>
      <x:c r="E16" s="25" t="n">
        <x:v>527</x:v>
      </x:c>
      <x:c r="F16" s="25" t="n">
        <x:v>53</x:v>
      </x:c>
    </x:row>
    <x:row r="17">
      <x:c r="A17" s="25" t="n">
        <x:v>12</x:v>
      </x:c>
      <x:c r="B17" s="25" t="n">
        <x:v>60866</x:v>
      </x:c>
      <x:c r="C17" s="25" t="n">
        <x:v>6087</x:v>
      </x:c>
      <x:c r="D17" s="25" t="n">
        <x:v>6087</x:v>
      </x:c>
      <x:c r="E17" s="25" t="n">
        <x:v>609</x:v>
      </x:c>
      <x:c r="F17" s="25" t="n">
        <x:v>61</x:v>
      </x:c>
    </x:row>
    <x:row r="18">
      <x:c r="A18" s="25" t="n">
        <x:v>13</x:v>
      </x:c>
      <x:c r="B18" s="25" t="n">
        <x:v>69438</x:v>
      </x:c>
      <x:c r="C18" s="25" t="n">
        <x:v>6944</x:v>
      </x:c>
      <x:c r="D18" s="25" t="n">
        <x:v>6944</x:v>
      </x:c>
      <x:c r="E18" s="25" t="n">
        <x:v>694</x:v>
      </x:c>
      <x:c r="F18" s="25" t="n">
        <x:v>70</x:v>
      </x:c>
    </x:row>
    <x:row r="19">
      <x:c r="A19" s="25" t="n">
        <x:v>14</x:v>
      </x:c>
      <x:c r="B19" s="25" t="n">
        <x:v>78412</x:v>
      </x:c>
      <x:c r="C19" s="25" t="n">
        <x:v>7841</x:v>
      </x:c>
      <x:c r="D19" s="25" t="n">
        <x:v>7841</x:v>
      </x:c>
      <x:c r="E19" s="25" t="n">
        <x:v>784</x:v>
      </x:c>
      <x:c r="F19" s="25" t="n">
        <x:v>79</x:v>
      </x:c>
    </x:row>
    <x:row r="20">
      <x:c r="A20" s="25" t="n">
        <x:v>15</x:v>
      </x:c>
      <x:c r="B20" s="25" t="n">
        <x:v>87774</x:v>
      </x:c>
      <x:c r="C20" s="25" t="n">
        <x:v>8777</x:v>
      </x:c>
      <x:c r="D20" s="25" t="n">
        <x:v>8777</x:v>
      </x:c>
      <x:c r="E20" s="25" t="n">
        <x:v>878</x:v>
      </x:c>
      <x:c r="F20" s="25" t="n">
        <x:v>88</x:v>
      </x:c>
    </x:row>
    <x:row r="21">
      <x:c r="A21" s="25" t="n">
        <x:v>16</x:v>
      </x:c>
      <x:c r="B21" s="25" t="n">
        <x:v>97511</x:v>
      </x:c>
      <x:c r="C21" s="25" t="n">
        <x:v>9751</x:v>
      </x:c>
      <x:c r="D21" s="25" t="n">
        <x:v>9751</x:v>
      </x:c>
      <x:c r="E21" s="25" t="n">
        <x:v>975</x:v>
      </x:c>
      <x:c r="F21" s="25" t="n">
        <x:v>98</x:v>
      </x:c>
    </x:row>
    <x:row r="22">
      <x:c r="A22" s="25" t="n">
        <x:v>17</x:v>
      </x:c>
      <x:c r="B22" s="25" t="n">
        <x:v>107613</x:v>
      </x:c>
      <x:c r="C22" s="25" t="n">
        <x:v>10761</x:v>
      </x:c>
      <x:c r="D22" s="25" t="n">
        <x:v>10761</x:v>
      </x:c>
      <x:c r="E22" s="25" t="n">
        <x:v>1076</x:v>
      </x:c>
      <x:c r="F22" s="25" t="n">
        <x:v>108</x:v>
      </x:c>
    </x:row>
    <x:row r="23">
      <x:c r="A23" s="25" t="n">
        <x:v>18</x:v>
      </x:c>
      <x:c r="B23" s="25" t="n">
        <x:v>118068</x:v>
      </x:c>
      <x:c r="C23" s="25" t="n">
        <x:v>11807</x:v>
      </x:c>
      <x:c r="D23" s="25" t="n">
        <x:v>11807</x:v>
      </x:c>
      <x:c r="E23" s="25" t="n">
        <x:v>1181</x:v>
      </x:c>
      <x:c r="F23" s="25" t="n">
        <x:v>118</x:v>
      </x:c>
    </x:row>
    <x:row r="24">
      <x:c r="A24" s="25" t="n">
        <x:v>19</x:v>
      </x:c>
      <x:c r="B24" s="25" t="n">
        <x:v>128866</x:v>
      </x:c>
      <x:c r="C24" s="25" t="n">
        <x:v>12887</x:v>
      </x:c>
      <x:c r="D24" s="25" t="n">
        <x:v>12887</x:v>
      </x:c>
      <x:c r="E24" s="25" t="n">
        <x:v>1289</x:v>
      </x:c>
      <x:c r="F24" s="25" t="n">
        <x:v>129</x:v>
      </x:c>
    </x:row>
    <x:row r="25">
      <x:c r="A25" s="26" t="n">
        <x:v>20</x:v>
      </x:c>
      <x:c r="B25" s="26" t="n">
        <x:v>140000</x:v>
      </x:c>
      <x:c r="C25" s="26" t="n">
        <x:v>14000</x:v>
      </x:c>
      <x:c r="D25" s="26" t="n">
        <x:v>14000</x:v>
      </x:c>
      <x:c r="E25" s="26" t="n">
        <x:v>1400</x:v>
      </x:c>
      <x:c r="F25" s="26" t="n">
        <x:v>140</x:v>
      </x:c>
    </x:row>
  </x:sheetData>
  <x:mergeCells>
    <x:mergeCell ref="A1:F2"/>
  </x:mergeCells>
  <x:conditionalFormatting sqref="A5:F25">
    <x:cfRule type="colorScale" priority="1">
      <x:colorScale>
        <x:cfvo type="min"/>
        <x:cfvo type="percentile" val="50"/>
        <x:cfvo type="max"/>
        <x:color rgb="FFFFFFFF"/>
        <x:color rgb="FFBAE6FD"/>
        <x:color rgb="FF0EA5E9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2" hidden="0" customWidth="1"/>
  </x:cols>
  <x:sheetData>
    <x:row r="1">
      <x:c r="A1" s="3" t="str">
        <x:v>Bilan complet de production au niveau 20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15" t="str">
        <x:v>Matériau</x:v>
      </x:c>
      <x:c r="B4" s="30" t="str">
        <x:v>Type</x:v>
      </x:c>
      <x:c r="C4" s="30" t="str">
        <x:v>Produit / h</x:v>
      </x:c>
      <x:c r="D4" s="30" t="str">
        <x:v>Consommé / h</x:v>
      </x:c>
      <x:c r="E4" s="30" t="str">
        <x:v>Net / h</x:v>
      </x:c>
      <x:c r="F4" s="30" t="str">
        <x:v>État</x:v>
      </x:c>
      <x:c r="G4" s="16" t="str">
        <x:v>Utilisé par</x:v>
      </x:c>
    </x:row>
    <x:row r="5">
      <x:c r="A5" s="21" t="str">
        <x:v>Cuivre</x:v>
      </x:c>
      <x:c r="B5" s="21" t="str">
        <x:v>raw</x:v>
      </x:c>
      <x:c r="C5" s="24" t="n">
        <x:v>140000</x:v>
      </x:c>
      <x:c r="D5" s="24" t="n">
        <x:v>140000</x:v>
      </x:c>
      <x:c r="E5" s="24" t="n">
        <x:f>C5-D5</x:f>
        <x:v>0</x:v>
      </x:c>
      <x:c r="F5" s="21" t="str">
        <x:f>IF(E5&lt;0,"DÉFICIT",IF(E5&gt;0,"POSITIF","ÉQUILIBRÉ"))</x:f>
        <x:v>ÉQUILIBRÉ</x:v>
      </x:c>
      <x:c r="G5" s="65" t="str">
        <x:v>Alliage : 140 000/h</x:v>
      </x:c>
    </x:row>
    <x:row r="6">
      <x:c r="A6" s="22" t="str">
        <x:v>Zinc</x:v>
      </x:c>
      <x:c r="B6" s="22" t="str">
        <x:v>raw</x:v>
      </x:c>
      <x:c r="C6" s="25" t="n">
        <x:v>140000</x:v>
      </x:c>
      <x:c r="D6" s="25" t="n">
        <x:v>280000</x:v>
      </x:c>
      <x:c r="E6" s="25" t="n">
        <x:f>C6-D6</x:f>
        <x:v>-140000</x:v>
      </x:c>
      <x:c r="F6" s="22" t="str">
        <x:f>IF(E6&lt;0,"DÉFICIT",IF(E6&gt;0,"POSITIF","ÉQUILIBRÉ"))</x:f>
        <x:v>DÉFICIT</x:v>
      </x:c>
      <x:c r="G6" s="66" t="str">
        <x:v>Alliage : 140 000/h • Catalyseur : 140 000/h</x:v>
      </x:c>
    </x:row>
    <x:row r="7">
      <x:c r="A7" s="22" t="str">
        <x:v>Nickel</x:v>
      </x:c>
      <x:c r="B7" s="22" t="str">
        <x:v>raw</x:v>
      </x:c>
      <x:c r="C7" s="25" t="n">
        <x:v>140000</x:v>
      </x:c>
      <x:c r="D7" s="25" t="n">
        <x:v>140000</x:v>
      </x:c>
      <x:c r="E7" s="25" t="n">
        <x:f>C7-D7</x:f>
        <x:v>0</x:v>
      </x:c>
      <x:c r="F7" s="22" t="str">
        <x:f>IF(E7&lt;0,"DÉFICIT",IF(E7&gt;0,"POSITIF","ÉQUILIBRÉ"))</x:f>
        <x:v>ÉQUILIBRÉ</x:v>
      </x:c>
      <x:c r="G7" s="66" t="str">
        <x:v>Catalyseur : 140 000/h</x:v>
      </x:c>
    </x:row>
    <x:row r="8">
      <x:c r="A8" s="22" t="str">
        <x:v>Titane</x:v>
      </x:c>
      <x:c r="B8" s="22" t="str">
        <x:v>raw</x:v>
      </x:c>
      <x:c r="C8" s="25" t="n">
        <x:v>140000</x:v>
      </x:c>
      <x:c r="D8" s="25" t="n">
        <x:v>280000</x:v>
      </x:c>
      <x:c r="E8" s="25" t="n">
        <x:f>C8-D8</x:f>
        <x:v>-140000</x:v>
      </x:c>
      <x:c r="F8" s="22" t="str">
        <x:f>IF(E8&lt;0,"DÉFICIT",IF(E8&gt;0,"POSITIF","ÉQUILIBRÉ"))</x:f>
        <x:v>DÉFICIT</x:v>
      </x:c>
      <x:c r="G8" s="66" t="str">
        <x:v>Plaque : 140 000/h • Catalyseur : 140 000/h</x:v>
      </x:c>
    </x:row>
    <x:row r="9">
      <x:c r="A9" s="22" t="str">
        <x:v>Silice</x:v>
      </x:c>
      <x:c r="B9" s="22" t="str">
        <x:v>raw</x:v>
      </x:c>
      <x:c r="C9" s="25" t="n">
        <x:v>140000</x:v>
      </x:c>
      <x:c r="D9" s="25" t="n">
        <x:v>140000</x:v>
      </x:c>
      <x:c r="E9" s="25" t="n">
        <x:f>C9-D9</x:f>
        <x:v>0</x:v>
      </x:c>
      <x:c r="F9" s="22" t="str">
        <x:f>IF(E9&lt;0,"DÉFICIT",IF(E9&gt;0,"POSITIF","ÉQUILIBRÉ"))</x:f>
        <x:v>ÉQUILIBRÉ</x:v>
      </x:c>
      <x:c r="G9" s="66" t="str">
        <x:v>Plaque : 140 000/h</x:v>
      </x:c>
    </x:row>
    <x:row r="10">
      <x:c r="A10" s="22" t="str">
        <x:v>Alliage</x:v>
      </x:c>
      <x:c r="B10" s="22" t="str">
        <x:v>refined</x:v>
      </x:c>
      <x:c r="C10" s="25" t="n">
        <x:v>14000</x:v>
      </x:c>
      <x:c r="D10" s="25" t="n">
        <x:v>14000</x:v>
      </x:c>
      <x:c r="E10" s="25" t="n">
        <x:f>C10-D10</x:f>
        <x:v>0</x:v>
      </x:c>
      <x:c r="F10" s="22" t="str">
        <x:f>IF(E10&lt;0,"DÉFICIT",IF(E10&gt;0,"POSITIF","ÉQUILIBRÉ"))</x:f>
        <x:v>ÉQUILIBRÉ</x:v>
      </x:c>
      <x:c r="G10" s="66" t="str">
        <x:v>Conducteur : 14 000/h</x:v>
      </x:c>
    </x:row>
    <x:row r="11">
      <x:c r="A11" s="22" t="str">
        <x:v>Plaque</x:v>
      </x:c>
      <x:c r="B11" s="22" t="str">
        <x:v>refined</x:v>
      </x:c>
      <x:c r="C11" s="25" t="n">
        <x:v>14000</x:v>
      </x:c>
      <x:c r="D11" s="25" t="n">
        <x:v>14000</x:v>
      </x:c>
      <x:c r="E11" s="25" t="n">
        <x:f>C11-D11</x:f>
        <x:v>0</x:v>
      </x:c>
      <x:c r="F11" s="22" t="str">
        <x:f>IF(E11&lt;0,"DÉFICIT",IF(E11&gt;0,"POSITIF","ÉQUILIBRÉ"))</x:f>
        <x:v>ÉQUILIBRÉ</x:v>
      </x:c>
      <x:c r="G11" s="66" t="str">
        <x:v>Blindage : 14 000/h</x:v>
      </x:c>
    </x:row>
    <x:row r="12">
      <x:c r="A12" s="22" t="str">
        <x:v>Conducteur</x:v>
      </x:c>
      <x:c r="B12" s="22" t="str">
        <x:v>advanced</x:v>
      </x:c>
      <x:c r="C12" s="25" t="n">
        <x:v>1400</x:v>
      </x:c>
      <x:c r="D12" s="25" t="n">
        <x:v>1400</x:v>
      </x:c>
      <x:c r="E12" s="25" t="n">
        <x:f>C12-D12</x:f>
        <x:v>0</x:v>
      </x:c>
      <x:c r="F12" s="22" t="str">
        <x:f>IF(E12&lt;0,"DÉFICIT",IF(E12&gt;0,"POSITIF","ÉQUILIBRÉ"))</x:f>
        <x:v>ÉQUILIBRÉ</x:v>
      </x:c>
      <x:c r="G12" s="66" t="str">
        <x:v>Noyau : 1 400/h</x:v>
      </x:c>
    </x:row>
    <x:row r="13">
      <x:c r="A13" s="22" t="str">
        <x:v>Blindage</x:v>
      </x:c>
      <x:c r="B13" s="22" t="str">
        <x:v>advanced</x:v>
      </x:c>
      <x:c r="C13" s="25" t="n">
        <x:v>1400</x:v>
      </x:c>
      <x:c r="D13" s="25" t="n">
        <x:v>1400</x:v>
      </x:c>
      <x:c r="E13" s="25" t="n">
        <x:f>C13-D13</x:f>
        <x:v>0</x:v>
      </x:c>
      <x:c r="F13" s="22" t="str">
        <x:f>IF(E13&lt;0,"DÉFICIT",IF(E13&gt;0,"POSITIF","ÉQUILIBRÉ"))</x:f>
        <x:v>ÉQUILIBRÉ</x:v>
      </x:c>
      <x:c r="G13" s="66" t="str">
        <x:v>Noyau : 1 400/h</x:v>
      </x:c>
    </x:row>
    <x:row r="14">
      <x:c r="A14" s="22" t="str">
        <x:v>Catalyseur</x:v>
      </x:c>
      <x:c r="B14" s="22" t="str">
        <x:v>special</x:v>
      </x:c>
      <x:c r="C14" s="25" t="n">
        <x:v>14000</x:v>
      </x:c>
      <x:c r="D14" s="25" t="n">
        <x:v>15400</x:v>
      </x:c>
      <x:c r="E14" s="25" t="n">
        <x:f>C14-D14</x:f>
        <x:v>-1400</x:v>
      </x:c>
      <x:c r="F14" s="22" t="str">
        <x:f>IF(E14&lt;0,"DÉFICIT",IF(E14&gt;0,"POSITIF","ÉQUILIBRÉ"))</x:f>
        <x:v>DÉFICIT</x:v>
      </x:c>
      <x:c r="G14" s="66" t="str">
        <x:v>Conducteur : 7 000/h • Blindage : 7 000/h • Noyau : 1 400/h</x:v>
      </x:c>
    </x:row>
    <x:row r="15">
      <x:c r="A15" s="23" t="str">
        <x:v>Noyau</x:v>
      </x:c>
      <x:c r="B15" s="23" t="str">
        <x:v>final</x:v>
      </x:c>
      <x:c r="C15" s="26" t="n">
        <x:v>140</x:v>
      </x:c>
      <x:c r="D15" s="26" t="n">
        <x:v>0</x:v>
      </x:c>
      <x:c r="E15" s="26" t="n">
        <x:f>C15-D15</x:f>
        <x:v>140</x:v>
      </x:c>
      <x:c r="F15" s="23" t="str">
        <x:f>IF(E15&lt;0,"DÉFICIT",IF(E15&gt;0,"POSITIF","ÉQUILIBRÉ"))</x:f>
        <x:v>POSITIF</x:v>
      </x:c>
      <x:c r="G15" s="67" t="str">
        <x:v>Aucune consommation</x:v>
      </x:c>
    </x:row>
  </x:sheetData>
  <x:mergeCells>
    <x:mergeCell ref="A1:G2"/>
  </x:mergeCells>
  <x:conditionalFormatting sqref="E5:E15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